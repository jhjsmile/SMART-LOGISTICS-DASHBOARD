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tc14-my.sharepoint.com/personal/jhjoon_btc14_onmicrosoft_com/Documents/바탕 화면/"/>
    </mc:Choice>
  </mc:AlternateContent>
  <xr:revisionPtr revIDLastSave="0" documentId="8_{D2397F5C-7E07-4658-978C-31996E79BBFB}" xr6:coauthVersionLast="47" xr6:coauthVersionMax="47" xr10:uidLastSave="{00000000-0000-0000-0000-000000000000}"/>
  <bookViews>
    <workbookView xWindow="6525" yWindow="2310" windowWidth="14790" windowHeight="12045" xr2:uid="{35BB8C0F-74C4-46FE-95D8-3C8DAFDE7041}"/>
  </bookViews>
  <sheets>
    <sheet name="생산계획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46" i="1" l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EE40" i="1"/>
  <c r="ED40" i="1"/>
  <c r="EB40" i="1"/>
  <c r="EA40" i="1"/>
  <c r="DS40" i="1"/>
  <c r="DR40" i="1"/>
  <c r="DP40" i="1"/>
  <c r="DO40" i="1"/>
  <c r="DG40" i="1"/>
  <c r="DF40" i="1"/>
  <c r="DD40" i="1"/>
  <c r="DC40" i="1"/>
  <c r="CU40" i="1"/>
  <c r="CT40" i="1"/>
  <c r="CR40" i="1"/>
  <c r="CQ40" i="1"/>
  <c r="CI40" i="1"/>
  <c r="CH40" i="1"/>
  <c r="CF40" i="1"/>
  <c r="CE40" i="1"/>
  <c r="BW40" i="1"/>
  <c r="BV40" i="1"/>
  <c r="BT40" i="1"/>
  <c r="BS40" i="1"/>
  <c r="BK40" i="1"/>
  <c r="BJ40" i="1"/>
  <c r="BH40" i="1"/>
  <c r="BG40" i="1"/>
  <c r="AY40" i="1"/>
  <c r="AX40" i="1"/>
  <c r="AV40" i="1"/>
  <c r="AU40" i="1"/>
  <c r="AM40" i="1"/>
  <c r="AL40" i="1"/>
  <c r="AJ40" i="1"/>
  <c r="AI40" i="1"/>
  <c r="AA40" i="1"/>
  <c r="Z40" i="1"/>
  <c r="X40" i="1"/>
  <c r="W40" i="1"/>
  <c r="O40" i="1"/>
  <c r="N40" i="1"/>
  <c r="L40" i="1"/>
  <c r="K40" i="1"/>
  <c r="C40" i="1"/>
  <c r="EF39" i="1"/>
  <c r="EF40" i="1" s="1"/>
  <c r="EE39" i="1"/>
  <c r="ED39" i="1"/>
  <c r="EC39" i="1"/>
  <c r="EC40" i="1" s="1"/>
  <c r="EB39" i="1"/>
  <c r="EA39" i="1"/>
  <c r="DZ39" i="1"/>
  <c r="DZ40" i="1" s="1"/>
  <c r="DY39" i="1"/>
  <c r="DY40" i="1" s="1"/>
  <c r="DX39" i="1"/>
  <c r="DX40" i="1" s="1"/>
  <c r="DW39" i="1"/>
  <c r="DW40" i="1" s="1"/>
  <c r="DV39" i="1"/>
  <c r="DV40" i="1" s="1"/>
  <c r="DU39" i="1"/>
  <c r="DU40" i="1" s="1"/>
  <c r="DT39" i="1"/>
  <c r="DT40" i="1" s="1"/>
  <c r="DS39" i="1"/>
  <c r="DR39" i="1"/>
  <c r="DQ39" i="1"/>
  <c r="DQ40" i="1" s="1"/>
  <c r="DP39" i="1"/>
  <c r="DO39" i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H40" i="1" s="1"/>
  <c r="DG39" i="1"/>
  <c r="DF39" i="1"/>
  <c r="DE39" i="1"/>
  <c r="DE40" i="1" s="1"/>
  <c r="DD39" i="1"/>
  <c r="DC39" i="1"/>
  <c r="DB39" i="1"/>
  <c r="DB40" i="1" s="1"/>
  <c r="DA39" i="1"/>
  <c r="DA40" i="1" s="1"/>
  <c r="CZ39" i="1"/>
  <c r="CZ40" i="1" s="1"/>
  <c r="CY39" i="1"/>
  <c r="CY40" i="1" s="1"/>
  <c r="CX39" i="1"/>
  <c r="CX40" i="1" s="1"/>
  <c r="CW39" i="1"/>
  <c r="CW40" i="1" s="1"/>
  <c r="CV39" i="1"/>
  <c r="CV40" i="1" s="1"/>
  <c r="CU39" i="1"/>
  <c r="CT39" i="1"/>
  <c r="CS39" i="1"/>
  <c r="CS40" i="1" s="1"/>
  <c r="CR39" i="1"/>
  <c r="CQ39" i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CJ39" i="1"/>
  <c r="CJ40" i="1" s="1"/>
  <c r="CI39" i="1"/>
  <c r="CH39" i="1"/>
  <c r="CG39" i="1"/>
  <c r="CG40" i="1" s="1"/>
  <c r="CF39" i="1"/>
  <c r="CE39" i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BX39" i="1"/>
  <c r="BX40" i="1" s="1"/>
  <c r="BW39" i="1"/>
  <c r="BV39" i="1"/>
  <c r="BU39" i="1"/>
  <c r="BU40" i="1" s="1"/>
  <c r="BT39" i="1"/>
  <c r="BS39" i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L40" i="1" s="1"/>
  <c r="BK39" i="1"/>
  <c r="BJ39" i="1"/>
  <c r="BI39" i="1"/>
  <c r="BI40" i="1" s="1"/>
  <c r="BH39" i="1"/>
  <c r="BG39" i="1"/>
  <c r="BF39" i="1"/>
  <c r="BF40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Z40" i="1" s="1"/>
  <c r="AY39" i="1"/>
  <c r="AX39" i="1"/>
  <c r="AW39" i="1"/>
  <c r="AW40" i="1" s="1"/>
  <c r="AV39" i="1"/>
  <c r="AU39" i="1"/>
  <c r="AT39" i="1"/>
  <c r="AT40" i="1" s="1"/>
  <c r="AS39" i="1"/>
  <c r="AS40" i="1" s="1"/>
  <c r="AR39" i="1"/>
  <c r="AR40" i="1" s="1"/>
  <c r="AQ39" i="1"/>
  <c r="AQ40" i="1" s="1"/>
  <c r="AP39" i="1"/>
  <c r="AP40" i="1" s="1"/>
  <c r="AO39" i="1"/>
  <c r="AO40" i="1" s="1"/>
  <c r="AN39" i="1"/>
  <c r="AN40" i="1" s="1"/>
  <c r="AM39" i="1"/>
  <c r="AL39" i="1"/>
  <c r="AK39" i="1"/>
  <c r="AK40" i="1" s="1"/>
  <c r="AJ39" i="1"/>
  <c r="AI39" i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B40" i="1" s="1"/>
  <c r="AA39" i="1"/>
  <c r="Z39" i="1"/>
  <c r="Y39" i="1"/>
  <c r="Y40" i="1" s="1"/>
  <c r="X39" i="1"/>
  <c r="W39" i="1"/>
  <c r="V39" i="1"/>
  <c r="V40" i="1" s="1"/>
  <c r="U39" i="1"/>
  <c r="U40" i="1" s="1"/>
  <c r="T39" i="1"/>
  <c r="T40" i="1" s="1"/>
  <c r="S39" i="1"/>
  <c r="S40" i="1" s="1"/>
  <c r="R39" i="1"/>
  <c r="R40" i="1" s="1"/>
  <c r="Q39" i="1"/>
  <c r="Q40" i="1" s="1"/>
  <c r="P39" i="1"/>
  <c r="P40" i="1" s="1"/>
  <c r="O39" i="1"/>
  <c r="N39" i="1"/>
  <c r="M39" i="1"/>
  <c r="M40" i="1" s="1"/>
  <c r="L39" i="1"/>
  <c r="K39" i="1"/>
  <c r="J39" i="1"/>
  <c r="J40" i="1" s="1"/>
  <c r="I39" i="1"/>
  <c r="I40" i="1" s="1"/>
  <c r="H39" i="1"/>
  <c r="H40" i="1" s="1"/>
  <c r="G39" i="1"/>
  <c r="G40" i="1" s="1"/>
  <c r="F39" i="1"/>
  <c r="F40" i="1" s="1"/>
  <c r="E39" i="1"/>
  <c r="E40" i="1" s="1"/>
  <c r="D39" i="1"/>
  <c r="D40" i="1" s="1"/>
  <c r="C39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DY35" i="1"/>
  <c r="DV35" i="1"/>
  <c r="DU35" i="1"/>
  <c r="DM35" i="1"/>
  <c r="DJ35" i="1"/>
  <c r="DI35" i="1"/>
  <c r="DA35" i="1"/>
  <c r="CX35" i="1"/>
  <c r="CW35" i="1"/>
  <c r="CO35" i="1"/>
  <c r="CL35" i="1"/>
  <c r="CK35" i="1"/>
  <c r="CC35" i="1"/>
  <c r="BZ35" i="1"/>
  <c r="BY35" i="1"/>
  <c r="BQ35" i="1"/>
  <c r="BN35" i="1"/>
  <c r="BM35" i="1"/>
  <c r="BE35" i="1"/>
  <c r="BB35" i="1"/>
  <c r="BA35" i="1"/>
  <c r="AS35" i="1"/>
  <c r="AP35" i="1"/>
  <c r="AO35" i="1"/>
  <c r="AG35" i="1"/>
  <c r="AD35" i="1"/>
  <c r="AC35" i="1"/>
  <c r="AC47" i="1" s="1"/>
  <c r="U35" i="1"/>
  <c r="R35" i="1"/>
  <c r="Q35" i="1"/>
  <c r="I35" i="1"/>
  <c r="F35" i="1"/>
  <c r="E35" i="1"/>
  <c r="EF34" i="1"/>
  <c r="EF35" i="1" s="1"/>
  <c r="EE34" i="1"/>
  <c r="EE35" i="1" s="1"/>
  <c r="ED34" i="1"/>
  <c r="ED35" i="1" s="1"/>
  <c r="EC34" i="1"/>
  <c r="EC35" i="1" s="1"/>
  <c r="EB34" i="1"/>
  <c r="EB35" i="1" s="1"/>
  <c r="EA34" i="1"/>
  <c r="EA35" i="1" s="1"/>
  <c r="DZ34" i="1"/>
  <c r="DZ35" i="1" s="1"/>
  <c r="DY34" i="1"/>
  <c r="DX34" i="1"/>
  <c r="DX35" i="1" s="1"/>
  <c r="DW34" i="1"/>
  <c r="DW35" i="1" s="1"/>
  <c r="DV34" i="1"/>
  <c r="DU34" i="1"/>
  <c r="DT34" i="1"/>
  <c r="DT35" i="1" s="1"/>
  <c r="DS34" i="1"/>
  <c r="DS35" i="1" s="1"/>
  <c r="DR34" i="1"/>
  <c r="DR35" i="1" s="1"/>
  <c r="DQ34" i="1"/>
  <c r="DQ35" i="1" s="1"/>
  <c r="DP34" i="1"/>
  <c r="DP35" i="1" s="1"/>
  <c r="DO34" i="1"/>
  <c r="DO35" i="1" s="1"/>
  <c r="DN34" i="1"/>
  <c r="DN35" i="1" s="1"/>
  <c r="DM34" i="1"/>
  <c r="DL34" i="1"/>
  <c r="DL35" i="1" s="1"/>
  <c r="DK34" i="1"/>
  <c r="DK35" i="1" s="1"/>
  <c r="DJ34" i="1"/>
  <c r="DI34" i="1"/>
  <c r="DH34" i="1"/>
  <c r="DH35" i="1" s="1"/>
  <c r="DG34" i="1"/>
  <c r="DG35" i="1" s="1"/>
  <c r="DF34" i="1"/>
  <c r="DF35" i="1" s="1"/>
  <c r="DE34" i="1"/>
  <c r="DE35" i="1" s="1"/>
  <c r="DD34" i="1"/>
  <c r="DD35" i="1" s="1"/>
  <c r="DC34" i="1"/>
  <c r="DC35" i="1" s="1"/>
  <c r="DB34" i="1"/>
  <c r="DB35" i="1" s="1"/>
  <c r="DA34" i="1"/>
  <c r="CZ34" i="1"/>
  <c r="CZ35" i="1" s="1"/>
  <c r="CY34" i="1"/>
  <c r="CY35" i="1" s="1"/>
  <c r="CX34" i="1"/>
  <c r="CW34" i="1"/>
  <c r="CV34" i="1"/>
  <c r="CV35" i="1" s="1"/>
  <c r="CU34" i="1"/>
  <c r="CU35" i="1" s="1"/>
  <c r="CT34" i="1"/>
  <c r="CT35" i="1" s="1"/>
  <c r="CS34" i="1"/>
  <c r="CS35" i="1" s="1"/>
  <c r="CR34" i="1"/>
  <c r="CR35" i="1" s="1"/>
  <c r="CQ34" i="1"/>
  <c r="CQ35" i="1" s="1"/>
  <c r="CP34" i="1"/>
  <c r="CP35" i="1" s="1"/>
  <c r="CO34" i="1"/>
  <c r="CN34" i="1"/>
  <c r="CN35" i="1" s="1"/>
  <c r="CM34" i="1"/>
  <c r="CM35" i="1" s="1"/>
  <c r="CL34" i="1"/>
  <c r="CK34" i="1"/>
  <c r="CJ34" i="1"/>
  <c r="CJ35" i="1" s="1"/>
  <c r="CI34" i="1"/>
  <c r="CI35" i="1" s="1"/>
  <c r="CH34" i="1"/>
  <c r="CH35" i="1" s="1"/>
  <c r="CG34" i="1"/>
  <c r="CG35" i="1" s="1"/>
  <c r="CF34" i="1"/>
  <c r="CF35" i="1" s="1"/>
  <c r="CE34" i="1"/>
  <c r="CE35" i="1" s="1"/>
  <c r="CD34" i="1"/>
  <c r="CD35" i="1" s="1"/>
  <c r="CC34" i="1"/>
  <c r="CB34" i="1"/>
  <c r="CB35" i="1" s="1"/>
  <c r="CA34" i="1"/>
  <c r="CA35" i="1" s="1"/>
  <c r="BZ34" i="1"/>
  <c r="BY34" i="1"/>
  <c r="BX34" i="1"/>
  <c r="BX35" i="1" s="1"/>
  <c r="BW34" i="1"/>
  <c r="BW35" i="1" s="1"/>
  <c r="BV34" i="1"/>
  <c r="BV35" i="1" s="1"/>
  <c r="BU34" i="1"/>
  <c r="BU35" i="1" s="1"/>
  <c r="BT34" i="1"/>
  <c r="BT35" i="1" s="1"/>
  <c r="BS34" i="1"/>
  <c r="BS35" i="1" s="1"/>
  <c r="BR34" i="1"/>
  <c r="BR35" i="1" s="1"/>
  <c r="BQ34" i="1"/>
  <c r="BP34" i="1"/>
  <c r="BP35" i="1" s="1"/>
  <c r="BO34" i="1"/>
  <c r="BO35" i="1" s="1"/>
  <c r="BN34" i="1"/>
  <c r="BM34" i="1"/>
  <c r="BL34" i="1"/>
  <c r="BL35" i="1" s="1"/>
  <c r="BK34" i="1"/>
  <c r="BK35" i="1" s="1"/>
  <c r="BJ34" i="1"/>
  <c r="BJ35" i="1" s="1"/>
  <c r="BI34" i="1"/>
  <c r="BI35" i="1" s="1"/>
  <c r="BH34" i="1"/>
  <c r="BH35" i="1" s="1"/>
  <c r="BG34" i="1"/>
  <c r="BG35" i="1" s="1"/>
  <c r="BF34" i="1"/>
  <c r="BF35" i="1" s="1"/>
  <c r="BE34" i="1"/>
  <c r="BD34" i="1"/>
  <c r="BD35" i="1" s="1"/>
  <c r="BC34" i="1"/>
  <c r="BC35" i="1" s="1"/>
  <c r="BB34" i="1"/>
  <c r="BA34" i="1"/>
  <c r="AZ34" i="1"/>
  <c r="AZ35" i="1" s="1"/>
  <c r="AY34" i="1"/>
  <c r="AY35" i="1" s="1"/>
  <c r="AX34" i="1"/>
  <c r="AX35" i="1" s="1"/>
  <c r="AW34" i="1"/>
  <c r="AW35" i="1" s="1"/>
  <c r="AV34" i="1"/>
  <c r="AV35" i="1" s="1"/>
  <c r="AU34" i="1"/>
  <c r="AU35" i="1" s="1"/>
  <c r="AT34" i="1"/>
  <c r="AT35" i="1" s="1"/>
  <c r="AS34" i="1"/>
  <c r="AR34" i="1"/>
  <c r="AR35" i="1" s="1"/>
  <c r="AQ34" i="1"/>
  <c r="AQ35" i="1" s="1"/>
  <c r="AP34" i="1"/>
  <c r="AO34" i="1"/>
  <c r="AN34" i="1"/>
  <c r="AN35" i="1" s="1"/>
  <c r="AM34" i="1"/>
  <c r="AM35" i="1" s="1"/>
  <c r="AL34" i="1"/>
  <c r="AL35" i="1" s="1"/>
  <c r="AK34" i="1"/>
  <c r="AK35" i="1" s="1"/>
  <c r="AJ34" i="1"/>
  <c r="AJ35" i="1" s="1"/>
  <c r="AI34" i="1"/>
  <c r="AI35" i="1" s="1"/>
  <c r="AH34" i="1"/>
  <c r="AH35" i="1" s="1"/>
  <c r="AG34" i="1"/>
  <c r="AF34" i="1"/>
  <c r="AF35" i="1" s="1"/>
  <c r="AE34" i="1"/>
  <c r="AE35" i="1" s="1"/>
  <c r="AD34" i="1"/>
  <c r="AC34" i="1"/>
  <c r="AB34" i="1"/>
  <c r="AB35" i="1" s="1"/>
  <c r="AA34" i="1"/>
  <c r="AA35" i="1" s="1"/>
  <c r="Z34" i="1"/>
  <c r="Z35" i="1" s="1"/>
  <c r="Y34" i="1"/>
  <c r="Y35" i="1" s="1"/>
  <c r="X34" i="1"/>
  <c r="X35" i="1" s="1"/>
  <c r="W34" i="1"/>
  <c r="W35" i="1" s="1"/>
  <c r="V34" i="1"/>
  <c r="V35" i="1" s="1"/>
  <c r="U34" i="1"/>
  <c r="T34" i="1"/>
  <c r="T35" i="1" s="1"/>
  <c r="S34" i="1"/>
  <c r="S35" i="1" s="1"/>
  <c r="R34" i="1"/>
  <c r="Q34" i="1"/>
  <c r="P34" i="1"/>
  <c r="P35" i="1" s="1"/>
  <c r="O34" i="1"/>
  <c r="O35" i="1" s="1"/>
  <c r="N34" i="1"/>
  <c r="N35" i="1" s="1"/>
  <c r="M34" i="1"/>
  <c r="M35" i="1" s="1"/>
  <c r="L34" i="1"/>
  <c r="L35" i="1" s="1"/>
  <c r="K34" i="1"/>
  <c r="K35" i="1" s="1"/>
  <c r="J34" i="1"/>
  <c r="J35" i="1" s="1"/>
  <c r="I34" i="1"/>
  <c r="H34" i="1"/>
  <c r="H35" i="1" s="1"/>
  <c r="G34" i="1"/>
  <c r="G35" i="1" s="1"/>
  <c r="F34" i="1"/>
  <c r="E34" i="1"/>
  <c r="D34" i="1"/>
  <c r="D35" i="1" s="1"/>
  <c r="C34" i="1"/>
  <c r="C35" i="1" s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EE30" i="1"/>
  <c r="EB30" i="1"/>
  <c r="EA30" i="1"/>
  <c r="DS30" i="1"/>
  <c r="DP30" i="1"/>
  <c r="DO30" i="1"/>
  <c r="DG30" i="1"/>
  <c r="DD30" i="1"/>
  <c r="DC30" i="1"/>
  <c r="CU30" i="1"/>
  <c r="CR30" i="1"/>
  <c r="CQ30" i="1"/>
  <c r="CI30" i="1"/>
  <c r="CF30" i="1"/>
  <c r="CE30" i="1"/>
  <c r="BW30" i="1"/>
  <c r="BT30" i="1"/>
  <c r="BS30" i="1"/>
  <c r="BK30" i="1"/>
  <c r="BH30" i="1"/>
  <c r="BG30" i="1"/>
  <c r="AY30" i="1"/>
  <c r="AV30" i="1"/>
  <c r="AU30" i="1"/>
  <c r="AM30" i="1"/>
  <c r="AJ30" i="1"/>
  <c r="AI30" i="1"/>
  <c r="AA30" i="1"/>
  <c r="X30" i="1"/>
  <c r="W30" i="1"/>
  <c r="O30" i="1"/>
  <c r="L30" i="1"/>
  <c r="K30" i="1"/>
  <c r="C30" i="1"/>
  <c r="EF29" i="1"/>
  <c r="EF30" i="1" s="1"/>
  <c r="EE29" i="1"/>
  <c r="ED29" i="1"/>
  <c r="ED30" i="1" s="1"/>
  <c r="EC29" i="1"/>
  <c r="EC30" i="1" s="1"/>
  <c r="EB29" i="1"/>
  <c r="EA29" i="1"/>
  <c r="DZ29" i="1"/>
  <c r="DZ30" i="1" s="1"/>
  <c r="DY29" i="1"/>
  <c r="DY30" i="1" s="1"/>
  <c r="DX29" i="1"/>
  <c r="DX30" i="1" s="1"/>
  <c r="DW29" i="1"/>
  <c r="DW30" i="1" s="1"/>
  <c r="DV29" i="1"/>
  <c r="DV30" i="1" s="1"/>
  <c r="DU29" i="1"/>
  <c r="DU30" i="1" s="1"/>
  <c r="DT29" i="1"/>
  <c r="DT30" i="1" s="1"/>
  <c r="DS29" i="1"/>
  <c r="DR29" i="1"/>
  <c r="DR30" i="1" s="1"/>
  <c r="DQ29" i="1"/>
  <c r="DQ30" i="1" s="1"/>
  <c r="DP29" i="1"/>
  <c r="DO29" i="1"/>
  <c r="DN29" i="1"/>
  <c r="DN30" i="1" s="1"/>
  <c r="DM29" i="1"/>
  <c r="DM30" i="1" s="1"/>
  <c r="DL29" i="1"/>
  <c r="DL30" i="1" s="1"/>
  <c r="DK29" i="1"/>
  <c r="DK30" i="1" s="1"/>
  <c r="DJ29" i="1"/>
  <c r="DJ30" i="1" s="1"/>
  <c r="DI29" i="1"/>
  <c r="DI30" i="1" s="1"/>
  <c r="DH29" i="1"/>
  <c r="DH30" i="1" s="1"/>
  <c r="DG29" i="1"/>
  <c r="DF29" i="1"/>
  <c r="DF30" i="1" s="1"/>
  <c r="DE29" i="1"/>
  <c r="DE30" i="1" s="1"/>
  <c r="DD29" i="1"/>
  <c r="DC29" i="1"/>
  <c r="DB29" i="1"/>
  <c r="DB30" i="1" s="1"/>
  <c r="DA29" i="1"/>
  <c r="DA30" i="1" s="1"/>
  <c r="CZ29" i="1"/>
  <c r="CZ30" i="1" s="1"/>
  <c r="CY29" i="1"/>
  <c r="CY30" i="1" s="1"/>
  <c r="CX29" i="1"/>
  <c r="CX30" i="1" s="1"/>
  <c r="CW29" i="1"/>
  <c r="CW30" i="1" s="1"/>
  <c r="CV29" i="1"/>
  <c r="CV30" i="1" s="1"/>
  <c r="CU29" i="1"/>
  <c r="CT29" i="1"/>
  <c r="CT30" i="1" s="1"/>
  <c r="CS29" i="1"/>
  <c r="CS30" i="1" s="1"/>
  <c r="CR29" i="1"/>
  <c r="CQ29" i="1"/>
  <c r="CP29" i="1"/>
  <c r="CP30" i="1" s="1"/>
  <c r="CO29" i="1"/>
  <c r="CO30" i="1" s="1"/>
  <c r="CN29" i="1"/>
  <c r="CN30" i="1" s="1"/>
  <c r="CM29" i="1"/>
  <c r="CM30" i="1" s="1"/>
  <c r="CL29" i="1"/>
  <c r="CL30" i="1" s="1"/>
  <c r="CK29" i="1"/>
  <c r="CK30" i="1" s="1"/>
  <c r="CJ29" i="1"/>
  <c r="CJ30" i="1" s="1"/>
  <c r="CI29" i="1"/>
  <c r="CH29" i="1"/>
  <c r="CH30" i="1" s="1"/>
  <c r="CG29" i="1"/>
  <c r="CG30" i="1" s="1"/>
  <c r="CF29" i="1"/>
  <c r="CE29" i="1"/>
  <c r="CD29" i="1"/>
  <c r="CD30" i="1" s="1"/>
  <c r="CC29" i="1"/>
  <c r="CC30" i="1" s="1"/>
  <c r="CB29" i="1"/>
  <c r="CB30" i="1" s="1"/>
  <c r="CA29" i="1"/>
  <c r="CA30" i="1" s="1"/>
  <c r="BZ29" i="1"/>
  <c r="BZ30" i="1" s="1"/>
  <c r="BY29" i="1"/>
  <c r="BY30" i="1" s="1"/>
  <c r="BX29" i="1"/>
  <c r="BX30" i="1" s="1"/>
  <c r="BW29" i="1"/>
  <c r="BV29" i="1"/>
  <c r="BV30" i="1" s="1"/>
  <c r="BU29" i="1"/>
  <c r="BU30" i="1" s="1"/>
  <c r="BT29" i="1"/>
  <c r="BS29" i="1"/>
  <c r="BR29" i="1"/>
  <c r="BR30" i="1" s="1"/>
  <c r="BQ29" i="1"/>
  <c r="BQ30" i="1" s="1"/>
  <c r="BP29" i="1"/>
  <c r="BP30" i="1" s="1"/>
  <c r="BO29" i="1"/>
  <c r="BO30" i="1" s="1"/>
  <c r="BN29" i="1"/>
  <c r="BN30" i="1" s="1"/>
  <c r="BM29" i="1"/>
  <c r="BM30" i="1" s="1"/>
  <c r="BL29" i="1"/>
  <c r="BL30" i="1" s="1"/>
  <c r="BK29" i="1"/>
  <c r="BJ29" i="1"/>
  <c r="BJ30" i="1" s="1"/>
  <c r="BI29" i="1"/>
  <c r="BI30" i="1" s="1"/>
  <c r="BH29" i="1"/>
  <c r="BG29" i="1"/>
  <c r="BF29" i="1"/>
  <c r="BF30" i="1" s="1"/>
  <c r="BE29" i="1"/>
  <c r="BE30" i="1" s="1"/>
  <c r="BD29" i="1"/>
  <c r="BD30" i="1" s="1"/>
  <c r="BC29" i="1"/>
  <c r="BC30" i="1" s="1"/>
  <c r="BB29" i="1"/>
  <c r="BB30" i="1" s="1"/>
  <c r="BA29" i="1"/>
  <c r="BA30" i="1" s="1"/>
  <c r="AZ29" i="1"/>
  <c r="AZ30" i="1" s="1"/>
  <c r="AY29" i="1"/>
  <c r="AX29" i="1"/>
  <c r="AX30" i="1" s="1"/>
  <c r="AW29" i="1"/>
  <c r="AW30" i="1" s="1"/>
  <c r="AV29" i="1"/>
  <c r="AU29" i="1"/>
  <c r="AT29" i="1"/>
  <c r="AT30" i="1" s="1"/>
  <c r="AS29" i="1"/>
  <c r="AS30" i="1" s="1"/>
  <c r="AR29" i="1"/>
  <c r="AR30" i="1" s="1"/>
  <c r="AQ29" i="1"/>
  <c r="AQ30" i="1" s="1"/>
  <c r="AP29" i="1"/>
  <c r="AP30" i="1" s="1"/>
  <c r="AO29" i="1"/>
  <c r="AO30" i="1" s="1"/>
  <c r="AN29" i="1"/>
  <c r="AN30" i="1" s="1"/>
  <c r="AM29" i="1"/>
  <c r="AL29" i="1"/>
  <c r="AL30" i="1" s="1"/>
  <c r="AK29" i="1"/>
  <c r="AK30" i="1" s="1"/>
  <c r="AJ29" i="1"/>
  <c r="AI29" i="1"/>
  <c r="AH29" i="1"/>
  <c r="AH30" i="1" s="1"/>
  <c r="AG29" i="1"/>
  <c r="AG30" i="1" s="1"/>
  <c r="AF29" i="1"/>
  <c r="AF30" i="1" s="1"/>
  <c r="AE29" i="1"/>
  <c r="AE30" i="1" s="1"/>
  <c r="AD29" i="1"/>
  <c r="AD30" i="1" s="1"/>
  <c r="AC29" i="1"/>
  <c r="AC30" i="1" s="1"/>
  <c r="AB29" i="1"/>
  <c r="AB30" i="1" s="1"/>
  <c r="AA29" i="1"/>
  <c r="Z29" i="1"/>
  <c r="Z30" i="1" s="1"/>
  <c r="Y29" i="1"/>
  <c r="Y30" i="1" s="1"/>
  <c r="X29" i="1"/>
  <c r="W29" i="1"/>
  <c r="V29" i="1"/>
  <c r="V30" i="1" s="1"/>
  <c r="U29" i="1"/>
  <c r="U30" i="1" s="1"/>
  <c r="T29" i="1"/>
  <c r="T30" i="1" s="1"/>
  <c r="S29" i="1"/>
  <c r="S30" i="1" s="1"/>
  <c r="R29" i="1"/>
  <c r="R30" i="1" s="1"/>
  <c r="Q29" i="1"/>
  <c r="Q30" i="1" s="1"/>
  <c r="P29" i="1"/>
  <c r="P30" i="1" s="1"/>
  <c r="O29" i="1"/>
  <c r="N29" i="1"/>
  <c r="N30" i="1" s="1"/>
  <c r="M29" i="1"/>
  <c r="M30" i="1" s="1"/>
  <c r="L29" i="1"/>
  <c r="K29" i="1"/>
  <c r="J29" i="1"/>
  <c r="J30" i="1" s="1"/>
  <c r="I29" i="1"/>
  <c r="I30" i="1" s="1"/>
  <c r="H29" i="1"/>
  <c r="H30" i="1" s="1"/>
  <c r="G29" i="1"/>
  <c r="G30" i="1" s="1"/>
  <c r="F29" i="1"/>
  <c r="F30" i="1" s="1"/>
  <c r="E29" i="1"/>
  <c r="E30" i="1" s="1"/>
  <c r="D29" i="1"/>
  <c r="D30" i="1" s="1"/>
  <c r="C29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EF9" i="1"/>
  <c r="EF47" i="1" s="1"/>
  <c r="EE9" i="1"/>
  <c r="EE47" i="1" s="1"/>
  <c r="ED9" i="1"/>
  <c r="ED47" i="1" s="1"/>
  <c r="EC9" i="1"/>
  <c r="EC47" i="1" s="1"/>
  <c r="EB9" i="1"/>
  <c r="EA9" i="1"/>
  <c r="DZ9" i="1"/>
  <c r="DY9" i="1"/>
  <c r="DX9" i="1"/>
  <c r="DW9" i="1"/>
  <c r="DV9" i="1"/>
  <c r="DV47" i="1" s="1"/>
  <c r="DU9" i="1"/>
  <c r="DU47" i="1" s="1"/>
  <c r="DT9" i="1"/>
  <c r="DT47" i="1" s="1"/>
  <c r="DS9" i="1"/>
  <c r="DS47" i="1" s="1"/>
  <c r="DR9" i="1"/>
  <c r="DR47" i="1" s="1"/>
  <c r="DQ9" i="1"/>
  <c r="DQ47" i="1" s="1"/>
  <c r="DP9" i="1"/>
  <c r="DO9" i="1"/>
  <c r="DN9" i="1"/>
  <c r="DM9" i="1"/>
  <c r="DL9" i="1"/>
  <c r="DK9" i="1"/>
  <c r="DJ9" i="1"/>
  <c r="DJ47" i="1" s="1"/>
  <c r="DI9" i="1"/>
  <c r="DI47" i="1" s="1"/>
  <c r="DH9" i="1"/>
  <c r="DH47" i="1" s="1"/>
  <c r="DG9" i="1"/>
  <c r="DG47" i="1" s="1"/>
  <c r="DF9" i="1"/>
  <c r="DF47" i="1" s="1"/>
  <c r="DE9" i="1"/>
  <c r="DE47" i="1" s="1"/>
  <c r="DD9" i="1"/>
  <c r="DC9" i="1"/>
  <c r="DB9" i="1"/>
  <c r="DA9" i="1"/>
  <c r="CZ9" i="1"/>
  <c r="CY9" i="1"/>
  <c r="CX9" i="1"/>
  <c r="CX47" i="1" s="1"/>
  <c r="CW9" i="1"/>
  <c r="CW47" i="1" s="1"/>
  <c r="CV9" i="1"/>
  <c r="CV47" i="1" s="1"/>
  <c r="CU9" i="1"/>
  <c r="CU47" i="1" s="1"/>
  <c r="CT9" i="1"/>
  <c r="CT47" i="1" s="1"/>
  <c r="CS9" i="1"/>
  <c r="CS47" i="1" s="1"/>
  <c r="CR9" i="1"/>
  <c r="CQ9" i="1"/>
  <c r="CP9" i="1"/>
  <c r="CO9" i="1"/>
  <c r="CN9" i="1"/>
  <c r="CM9" i="1"/>
  <c r="CL9" i="1"/>
  <c r="CL47" i="1" s="1"/>
  <c r="CK9" i="1"/>
  <c r="CK47" i="1" s="1"/>
  <c r="CJ9" i="1"/>
  <c r="CJ47" i="1" s="1"/>
  <c r="CI9" i="1"/>
  <c r="CI47" i="1" s="1"/>
  <c r="CH9" i="1"/>
  <c r="CH47" i="1" s="1"/>
  <c r="CG9" i="1"/>
  <c r="CG47" i="1" s="1"/>
  <c r="CF9" i="1"/>
  <c r="CE9" i="1"/>
  <c r="CD9" i="1"/>
  <c r="CC9" i="1"/>
  <c r="CB9" i="1"/>
  <c r="CA9" i="1"/>
  <c r="BZ9" i="1"/>
  <c r="BZ47" i="1" s="1"/>
  <c r="BY9" i="1"/>
  <c r="BY47" i="1" s="1"/>
  <c r="BX9" i="1"/>
  <c r="BX47" i="1" s="1"/>
  <c r="BW9" i="1"/>
  <c r="BW47" i="1" s="1"/>
  <c r="BV9" i="1"/>
  <c r="BV47" i="1" s="1"/>
  <c r="BU9" i="1"/>
  <c r="BU47" i="1" s="1"/>
  <c r="BT9" i="1"/>
  <c r="BS9" i="1"/>
  <c r="BR9" i="1"/>
  <c r="BQ9" i="1"/>
  <c r="BP9" i="1"/>
  <c r="BO9" i="1"/>
  <c r="BN9" i="1"/>
  <c r="BN47" i="1" s="1"/>
  <c r="BM9" i="1"/>
  <c r="BM47" i="1" s="1"/>
  <c r="BL9" i="1"/>
  <c r="BL47" i="1" s="1"/>
  <c r="BK9" i="1"/>
  <c r="BK47" i="1" s="1"/>
  <c r="BJ9" i="1"/>
  <c r="BJ47" i="1" s="1"/>
  <c r="BI9" i="1"/>
  <c r="BI47" i="1" s="1"/>
  <c r="BH9" i="1"/>
  <c r="BG9" i="1"/>
  <c r="BF9" i="1"/>
  <c r="BE9" i="1"/>
  <c r="BD9" i="1"/>
  <c r="BC9" i="1"/>
  <c r="BB9" i="1"/>
  <c r="BB47" i="1" s="1"/>
  <c r="BA9" i="1"/>
  <c r="BA47" i="1" s="1"/>
  <c r="AZ9" i="1"/>
  <c r="AZ47" i="1" s="1"/>
  <c r="AY9" i="1"/>
  <c r="AY47" i="1" s="1"/>
  <c r="AX9" i="1"/>
  <c r="AX47" i="1" s="1"/>
  <c r="AW9" i="1"/>
  <c r="AW47" i="1" s="1"/>
  <c r="AV9" i="1"/>
  <c r="AU9" i="1"/>
  <c r="AT9" i="1"/>
  <c r="AS9" i="1"/>
  <c r="AR9" i="1"/>
  <c r="AQ9" i="1"/>
  <c r="AP9" i="1"/>
  <c r="AP47" i="1" s="1"/>
  <c r="AO9" i="1"/>
  <c r="AO47" i="1" s="1"/>
  <c r="AN9" i="1"/>
  <c r="AN47" i="1" s="1"/>
  <c r="AM9" i="1"/>
  <c r="AM47" i="1" s="1"/>
  <c r="AL9" i="1"/>
  <c r="AL47" i="1" s="1"/>
  <c r="AK9" i="1"/>
  <c r="AK47" i="1" s="1"/>
  <c r="AJ9" i="1"/>
  <c r="AI9" i="1"/>
  <c r="AH9" i="1"/>
  <c r="AG9" i="1"/>
  <c r="AF9" i="1"/>
  <c r="AE9" i="1"/>
  <c r="AD9" i="1"/>
  <c r="AD47" i="1" s="1"/>
  <c r="AC9" i="1"/>
  <c r="AB9" i="1"/>
  <c r="AB47" i="1" s="1"/>
  <c r="AA9" i="1"/>
  <c r="AA47" i="1" s="1"/>
  <c r="Z9" i="1"/>
  <c r="Z47" i="1" s="1"/>
  <c r="Y9" i="1"/>
  <c r="Y47" i="1" s="1"/>
  <c r="X9" i="1"/>
  <c r="W9" i="1"/>
  <c r="V9" i="1"/>
  <c r="U9" i="1"/>
  <c r="T9" i="1"/>
  <c r="S9" i="1"/>
  <c r="R9" i="1"/>
  <c r="R47" i="1" s="1"/>
  <c r="Q9" i="1"/>
  <c r="Q47" i="1" s="1"/>
  <c r="P9" i="1"/>
  <c r="P47" i="1" s="1"/>
  <c r="O9" i="1"/>
  <c r="O47" i="1" s="1"/>
  <c r="N9" i="1"/>
  <c r="M9" i="1"/>
  <c r="M47" i="1" s="1"/>
  <c r="L9" i="1"/>
  <c r="K9" i="1"/>
  <c r="J9" i="1"/>
  <c r="I9" i="1"/>
  <c r="H9" i="1"/>
  <c r="G9" i="1"/>
  <c r="F9" i="1"/>
  <c r="F47" i="1" s="1"/>
  <c r="E9" i="1"/>
  <c r="E47" i="1" s="1"/>
  <c r="D9" i="1"/>
  <c r="D47" i="1" s="1"/>
  <c r="C9" i="1"/>
  <c r="C47" i="1" s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2" i="1"/>
  <c r="BC47" i="1" l="1"/>
  <c r="DW47" i="1"/>
  <c r="G47" i="1"/>
  <c r="CA47" i="1"/>
  <c r="T47" i="1"/>
  <c r="DL47" i="1"/>
  <c r="N47" i="1"/>
  <c r="AQ47" i="1"/>
  <c r="CY47" i="1"/>
  <c r="AF47" i="1"/>
  <c r="CB47" i="1"/>
  <c r="U47" i="1"/>
  <c r="AS47" i="1"/>
  <c r="BQ47" i="1"/>
  <c r="CC47" i="1"/>
  <c r="CO47" i="1"/>
  <c r="DA47" i="1"/>
  <c r="DM47" i="1"/>
  <c r="DY47" i="1"/>
  <c r="S47" i="1"/>
  <c r="CM47" i="1"/>
  <c r="BD47" i="1"/>
  <c r="CZ47" i="1"/>
  <c r="I47" i="1"/>
  <c r="AG47" i="1"/>
  <c r="BE47" i="1"/>
  <c r="J47" i="1"/>
  <c r="V47" i="1"/>
  <c r="AH47" i="1"/>
  <c r="AT47" i="1"/>
  <c r="BF47" i="1"/>
  <c r="BR47" i="1"/>
  <c r="CD47" i="1"/>
  <c r="CP47" i="1"/>
  <c r="DB47" i="1"/>
  <c r="DN47" i="1"/>
  <c r="DZ47" i="1"/>
  <c r="BO47" i="1"/>
  <c r="H47" i="1"/>
  <c r="BP47" i="1"/>
  <c r="DX47" i="1"/>
  <c r="W47" i="1"/>
  <c r="AI47" i="1"/>
  <c r="AU47" i="1"/>
  <c r="BG47" i="1"/>
  <c r="BS47" i="1"/>
  <c r="CE47" i="1"/>
  <c r="CQ47" i="1"/>
  <c r="DC47" i="1"/>
  <c r="DO47" i="1"/>
  <c r="EA47" i="1"/>
  <c r="AE47" i="1"/>
  <c r="DK47" i="1"/>
  <c r="AR47" i="1"/>
  <c r="CN47" i="1"/>
  <c r="K47" i="1"/>
  <c r="L47" i="1"/>
  <c r="X47" i="1"/>
  <c r="AJ47" i="1"/>
  <c r="AV47" i="1"/>
  <c r="BH47" i="1"/>
  <c r="BT47" i="1"/>
  <c r="CF47" i="1"/>
  <c r="CR47" i="1"/>
  <c r="DD47" i="1"/>
  <c r="DP47" i="1"/>
  <c r="EB47" i="1"/>
</calcChain>
</file>

<file path=xl/sharedStrings.xml><?xml version="1.0" encoding="utf-8"?>
<sst xmlns="http://schemas.openxmlformats.org/spreadsheetml/2006/main" count="351" uniqueCount="107">
  <si>
    <t>◈  Monitor 생산계획</t>
    <phoneticPr fontId="2" type="noConversion"/>
  </si>
  <si>
    <t>CU재작업</t>
    <phoneticPr fontId="2" type="noConversion"/>
  </si>
  <si>
    <t>3월 : 166대</t>
    <phoneticPr fontId="2" type="noConversion"/>
  </si>
  <si>
    <t>알피니언 : 40까지</t>
    <phoneticPr fontId="2" type="noConversion"/>
  </si>
  <si>
    <t>일우 자재입고 확인</t>
    <phoneticPr fontId="2" type="noConversion"/>
  </si>
  <si>
    <t>라인</t>
    <phoneticPr fontId="8" type="noConversion"/>
  </si>
  <si>
    <t>구분</t>
    <phoneticPr fontId="2" type="noConversion"/>
  </si>
  <si>
    <t>화</t>
  </si>
  <si>
    <t>수</t>
  </si>
  <si>
    <t>목</t>
  </si>
  <si>
    <t>금</t>
  </si>
  <si>
    <t>토</t>
  </si>
  <si>
    <t>일</t>
  </si>
  <si>
    <t>월</t>
  </si>
  <si>
    <t>조립계획</t>
    <phoneticPr fontId="2" type="noConversion"/>
  </si>
  <si>
    <t>P/N</t>
    <phoneticPr fontId="2" type="noConversion"/>
  </si>
  <si>
    <t>TMP6133009</t>
  </si>
  <si>
    <t>TMP7133001</t>
  </si>
  <si>
    <t>TMP6133002</t>
    <phoneticPr fontId="2" type="noConversion"/>
  </si>
  <si>
    <t>TMP6104TDAP_VE_KM</t>
    <phoneticPr fontId="2" type="noConversion"/>
  </si>
  <si>
    <t>TMP6121001</t>
  </si>
  <si>
    <t>TMP6133001</t>
  </si>
  <si>
    <t>휴무</t>
    <phoneticPr fontId="2" type="noConversion"/>
  </si>
  <si>
    <t>모델명</t>
    <phoneticPr fontId="2" type="noConversion"/>
  </si>
  <si>
    <t>조립수</t>
    <phoneticPr fontId="2" type="noConversion"/>
  </si>
  <si>
    <t>출하계획</t>
    <phoneticPr fontId="2" type="noConversion"/>
  </si>
  <si>
    <t>4/13 30대</t>
    <phoneticPr fontId="2" type="noConversion"/>
  </si>
  <si>
    <t>4/17 40대</t>
    <phoneticPr fontId="2" type="noConversion"/>
  </si>
  <si>
    <t>4/24 46대</t>
    <phoneticPr fontId="2" type="noConversion"/>
  </si>
  <si>
    <t>4/24 45대</t>
    <phoneticPr fontId="2" type="noConversion"/>
  </si>
  <si>
    <t>4/30 4대</t>
    <phoneticPr fontId="2" type="noConversion"/>
  </si>
  <si>
    <t>5/8 60대</t>
    <phoneticPr fontId="2" type="noConversion"/>
  </si>
  <si>
    <t>5/15 60대</t>
    <phoneticPr fontId="2" type="noConversion"/>
  </si>
  <si>
    <t>MH</t>
  </si>
  <si>
    <t>TMP6104TU005</t>
  </si>
  <si>
    <t>TMO1115TI401</t>
  </si>
  <si>
    <t>TMP7133002</t>
    <phoneticPr fontId="2" type="noConversion"/>
  </si>
  <si>
    <t>TMO6150NI403</t>
  </si>
  <si>
    <t>4/3 3대</t>
    <phoneticPr fontId="2" type="noConversion"/>
  </si>
  <si>
    <t>4/6 8대</t>
    <phoneticPr fontId="2" type="noConversion"/>
  </si>
  <si>
    <t>4/13 3대</t>
    <phoneticPr fontId="2" type="noConversion"/>
  </si>
  <si>
    <t>4/24 5대</t>
    <phoneticPr fontId="2" type="noConversion"/>
  </si>
  <si>
    <t>TMP6000NI403</t>
    <phoneticPr fontId="2" type="noConversion"/>
  </si>
  <si>
    <t>TMS7150006</t>
    <phoneticPr fontId="2" type="noConversion"/>
  </si>
  <si>
    <t>TMS7150017</t>
    <phoneticPr fontId="2" type="noConversion"/>
  </si>
  <si>
    <t>TMS9150008</t>
    <phoneticPr fontId="2" type="noConversion"/>
  </si>
  <si>
    <t>TMP6000NI402</t>
    <phoneticPr fontId="2" type="noConversion"/>
  </si>
  <si>
    <t>TMS7150012</t>
    <phoneticPr fontId="2" type="noConversion"/>
  </si>
  <si>
    <t>TMS7150012</t>
  </si>
  <si>
    <t>TMO6150TI403</t>
    <phoneticPr fontId="2" type="noConversion"/>
  </si>
  <si>
    <t>4/3 50대</t>
    <phoneticPr fontId="2" type="noConversion"/>
  </si>
  <si>
    <t>4/14 50대</t>
    <phoneticPr fontId="2" type="noConversion"/>
  </si>
  <si>
    <t>4/6 1대 [MST0001003]</t>
    <phoneticPr fontId="2" type="noConversion"/>
  </si>
  <si>
    <t>4/6 1대 [MST0001001]</t>
    <phoneticPr fontId="2" type="noConversion"/>
  </si>
  <si>
    <t>4/15 70대 (영업20260312-1)</t>
    <phoneticPr fontId="2" type="noConversion"/>
  </si>
  <si>
    <t>4/16 32대</t>
    <phoneticPr fontId="2" type="noConversion"/>
  </si>
  <si>
    <t>4/21 40대 (영업20260319-4)</t>
    <phoneticPr fontId="2" type="noConversion"/>
  </si>
  <si>
    <t>4/20 50대</t>
    <phoneticPr fontId="2" type="noConversion"/>
  </si>
  <si>
    <t>4/23 50대</t>
    <phoneticPr fontId="2" type="noConversion"/>
  </si>
  <si>
    <t>4/27 50대</t>
    <phoneticPr fontId="2" type="noConversion"/>
  </si>
  <si>
    <t>4/27 12대</t>
    <phoneticPr fontId="2" type="noConversion"/>
  </si>
  <si>
    <t>TMS7150014</t>
    <phoneticPr fontId="2" type="noConversion"/>
  </si>
  <si>
    <t>4/13 50대</t>
    <phoneticPr fontId="2" type="noConversion"/>
  </si>
  <si>
    <t>4/16 50대</t>
    <phoneticPr fontId="2" type="noConversion"/>
  </si>
  <si>
    <t>4/20 65대 (영업20260312-1)</t>
    <phoneticPr fontId="2" type="noConversion"/>
  </si>
  <si>
    <t>포장계획</t>
    <phoneticPr fontId="2" type="noConversion"/>
  </si>
  <si>
    <t>모델</t>
    <phoneticPr fontId="2" type="noConversion"/>
  </si>
  <si>
    <t>포장수</t>
    <phoneticPr fontId="2" type="noConversion"/>
  </si>
  <si>
    <t>출하  4/3 20</t>
    <phoneticPr fontId="2" type="noConversion"/>
  </si>
  <si>
    <t>출하  4/3 5</t>
    <phoneticPr fontId="2" type="noConversion"/>
  </si>
  <si>
    <t>출하  4/3 26</t>
    <phoneticPr fontId="2" type="noConversion"/>
  </si>
  <si>
    <t>출하  4/6 27</t>
    <phoneticPr fontId="2" type="noConversion"/>
  </si>
  <si>
    <t>출하  4/9 20</t>
    <phoneticPr fontId="2" type="noConversion"/>
  </si>
  <si>
    <t>출하  4/17 16 (75대)</t>
    <phoneticPr fontId="2" type="noConversion"/>
  </si>
  <si>
    <t>출하  4/13 16</t>
    <phoneticPr fontId="2" type="noConversion"/>
  </si>
  <si>
    <t>출하  4/17 30 (75대)</t>
    <phoneticPr fontId="2" type="noConversion"/>
  </si>
  <si>
    <t>출하  4/15 70</t>
    <phoneticPr fontId="2" type="noConversion"/>
  </si>
  <si>
    <t>출하  4/17 30</t>
    <phoneticPr fontId="2" type="noConversion"/>
  </si>
  <si>
    <t>출하  4/17 40</t>
    <phoneticPr fontId="2" type="noConversion"/>
  </si>
  <si>
    <t>출하  4/21 40</t>
    <phoneticPr fontId="2" type="noConversion"/>
  </si>
  <si>
    <t>출하  4/23 50</t>
    <phoneticPr fontId="2" type="noConversion"/>
  </si>
  <si>
    <t>출하  4/24 45</t>
    <phoneticPr fontId="2" type="noConversion"/>
  </si>
  <si>
    <t>출하  4/30 4</t>
    <phoneticPr fontId="2" type="noConversion"/>
  </si>
  <si>
    <t>출하  5/8 60</t>
    <phoneticPr fontId="2" type="noConversion"/>
  </si>
  <si>
    <t>출하  5/15 60</t>
    <phoneticPr fontId="2" type="noConversion"/>
  </si>
  <si>
    <t>TMP6133009</t>
    <phoneticPr fontId="2" type="noConversion"/>
  </si>
  <si>
    <t>TMO3115001</t>
    <phoneticPr fontId="2" type="noConversion"/>
  </si>
  <si>
    <t>출하  4/1 50</t>
    <phoneticPr fontId="2" type="noConversion"/>
  </si>
  <si>
    <t>출하  4/3 60</t>
    <phoneticPr fontId="2" type="noConversion"/>
  </si>
  <si>
    <t>출하  4/6 8</t>
    <phoneticPr fontId="2" type="noConversion"/>
  </si>
  <si>
    <t>출하  4/6 1 [MST0001001]</t>
    <phoneticPr fontId="2" type="noConversion"/>
  </si>
  <si>
    <t>출하  4/7 50</t>
    <phoneticPr fontId="2" type="noConversion"/>
  </si>
  <si>
    <t>출하  4/13 3</t>
    <phoneticPr fontId="2" type="noConversion"/>
  </si>
  <si>
    <t>출하  4/16 100</t>
    <phoneticPr fontId="2" type="noConversion"/>
  </si>
  <si>
    <t>출하  4/13 50</t>
    <phoneticPr fontId="2" type="noConversion"/>
  </si>
  <si>
    <t>출하  4/16 50</t>
    <phoneticPr fontId="2" type="noConversion"/>
  </si>
  <si>
    <t>출하  4/20 50</t>
    <phoneticPr fontId="2" type="noConversion"/>
  </si>
  <si>
    <t>출하  4/24 40</t>
    <phoneticPr fontId="2" type="noConversion"/>
  </si>
  <si>
    <t>TMS7150013</t>
  </si>
  <si>
    <t>TMP6133010</t>
    <phoneticPr fontId="2" type="noConversion"/>
  </si>
  <si>
    <t>출하  4/8 8</t>
    <phoneticPr fontId="2" type="noConversion"/>
  </si>
  <si>
    <t>출하  4/6 1  [MST0001003]</t>
    <phoneticPr fontId="2" type="noConversion"/>
  </si>
  <si>
    <t>출하  4/9 40</t>
    <phoneticPr fontId="2" type="noConversion"/>
  </si>
  <si>
    <t>출하  4/24 6</t>
    <phoneticPr fontId="2" type="noConversion"/>
  </si>
  <si>
    <t>출하  4/2 50</t>
    <phoneticPr fontId="2" type="noConversion"/>
  </si>
  <si>
    <t>Grand Total</t>
    <phoneticPr fontId="2" type="noConversion"/>
  </si>
  <si>
    <t>MH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</si>
</sst>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월&quot;\ d&quot;일&quot;;@"/>
    <numFmt numFmtId="177" formatCode="aaa"/>
    <numFmt numFmtId="178" formatCode="0_);[Red]\(0\)"/>
    <numFmt numFmtId="179" formatCode="000\-000"/>
  </numFmts>
  <fonts count="15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rgb="FF00000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>
      <alignment vertical="center"/>
    </xf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 applyProtection="1">
      <alignment horizontal="center" vertical="center"/>
      <protection hidden="1"/>
    </xf>
    <xf numFmtId="0" fontId="1" fillId="0" borderId="5" xfId="0" applyFont="1" applyBorder="1" applyAlignment="1">
      <alignment horizontal="center" vertical="center" wrapText="1"/>
    </xf>
    <xf numFmtId="0" fontId="4" fillId="0" borderId="6" xfId="0" applyFont="1" applyBorder="1" applyAlignment="1" applyProtection="1">
      <alignment horizontal="center" vertical="center"/>
      <protection hidden="1"/>
    </xf>
    <xf numFmtId="178" fontId="4" fillId="4" borderId="7" xfId="0" applyNumberFormat="1" applyFont="1" applyFill="1" applyBorder="1" applyAlignment="1" applyProtection="1">
      <alignment horizontal="center" vertical="center"/>
      <protection hidden="1"/>
    </xf>
    <xf numFmtId="178" fontId="4" fillId="0" borderId="7" xfId="0" applyNumberFormat="1" applyFont="1" applyBorder="1" applyAlignment="1" applyProtection="1">
      <alignment horizontal="center" vertical="center"/>
      <protection hidden="1"/>
    </xf>
    <xf numFmtId="178" fontId="4" fillId="5" borderId="7" xfId="0" applyNumberFormat="1" applyFont="1" applyFill="1" applyBorder="1" applyAlignment="1" applyProtection="1">
      <alignment horizontal="center" vertical="center"/>
      <protection hidden="1"/>
    </xf>
    <xf numFmtId="178" fontId="4" fillId="6" borderId="7" xfId="0" applyNumberFormat="1" applyFont="1" applyFill="1" applyBorder="1" applyAlignment="1" applyProtection="1">
      <alignment horizontal="center" vertical="center"/>
      <protection hidden="1"/>
    </xf>
    <xf numFmtId="178" fontId="4" fillId="7" borderId="7" xfId="0" applyNumberFormat="1" applyFont="1" applyFill="1" applyBorder="1" applyAlignment="1" applyProtection="1">
      <alignment horizontal="center" vertical="center"/>
      <protection hidden="1"/>
    </xf>
    <xf numFmtId="178" fontId="4" fillId="8" borderId="7" xfId="0" applyNumberFormat="1" applyFont="1" applyFill="1" applyBorder="1" applyAlignment="1" applyProtection="1">
      <alignment horizontal="center" vertical="center"/>
      <protection hidden="1"/>
    </xf>
    <xf numFmtId="178" fontId="4" fillId="9" borderId="7" xfId="0" applyNumberFormat="1" applyFont="1" applyFill="1" applyBorder="1" applyAlignment="1" applyProtection="1">
      <alignment horizontal="center" vertical="center"/>
      <protection hidden="1"/>
    </xf>
    <xf numFmtId="0" fontId="1" fillId="0" borderId="8" xfId="0" applyFont="1" applyBorder="1" applyAlignment="1">
      <alignment horizontal="center" vertical="center" wrapText="1"/>
    </xf>
    <xf numFmtId="0" fontId="4" fillId="0" borderId="9" xfId="0" applyFont="1" applyBorder="1" applyAlignment="1" applyProtection="1">
      <alignment horizontal="center" vertical="center"/>
      <protection hidden="1"/>
    </xf>
    <xf numFmtId="178" fontId="3" fillId="0" borderId="10" xfId="0" applyNumberFormat="1" applyFont="1" applyBorder="1" applyAlignment="1" applyProtection="1">
      <alignment horizontal="center" vertical="center"/>
      <protection hidden="1"/>
    </xf>
    <xf numFmtId="0" fontId="4" fillId="10" borderId="9" xfId="0" applyFont="1" applyFill="1" applyBorder="1" applyAlignment="1" applyProtection="1">
      <alignment horizontal="center" vertical="center"/>
      <protection hidden="1"/>
    </xf>
    <xf numFmtId="178" fontId="4" fillId="10" borderId="10" xfId="0" applyNumberFormat="1" applyFont="1" applyFill="1" applyBorder="1" applyAlignment="1" applyProtection="1">
      <alignment horizontal="center" vertical="center"/>
      <protection hidden="1"/>
    </xf>
    <xf numFmtId="0" fontId="9" fillId="11" borderId="11" xfId="0" applyFont="1" applyFill="1" applyBorder="1" applyAlignment="1" applyProtection="1">
      <alignment horizontal="center" vertical="center"/>
      <protection hidden="1"/>
    </xf>
    <xf numFmtId="178" fontId="10" fillId="11" borderId="10" xfId="0" applyNumberFormat="1" applyFont="1" applyFill="1" applyBorder="1" applyAlignment="1" applyProtection="1">
      <alignment horizontal="center" vertical="center"/>
      <protection hidden="1"/>
    </xf>
    <xf numFmtId="178" fontId="9" fillId="11" borderId="12" xfId="0" applyNumberFormat="1" applyFont="1" applyFill="1" applyBorder="1" applyAlignment="1" applyProtection="1">
      <alignment horizontal="center" vertical="center"/>
      <protection hidden="1"/>
    </xf>
    <xf numFmtId="0" fontId="4" fillId="10" borderId="13" xfId="0" applyFont="1" applyFill="1" applyBorder="1" applyAlignment="1">
      <alignment horizontal="center"/>
    </xf>
    <xf numFmtId="178" fontId="4" fillId="10" borderId="12" xfId="0" applyNumberFormat="1" applyFont="1" applyFill="1" applyBorder="1" applyAlignment="1" applyProtection="1">
      <alignment horizontal="center" vertical="center"/>
      <protection hidden="1"/>
    </xf>
    <xf numFmtId="178" fontId="4" fillId="12" borderId="7" xfId="0" applyNumberFormat="1" applyFont="1" applyFill="1" applyBorder="1" applyAlignment="1" applyProtection="1">
      <alignment horizontal="center" vertical="center"/>
      <protection hidden="1"/>
    </xf>
    <xf numFmtId="178" fontId="4" fillId="13" borderId="7" xfId="0" applyNumberFormat="1" applyFont="1" applyFill="1" applyBorder="1" applyAlignment="1" applyProtection="1">
      <alignment horizontal="center" vertical="center"/>
      <protection hidden="1"/>
    </xf>
    <xf numFmtId="178" fontId="4" fillId="14" borderId="7" xfId="0" applyNumberFormat="1" applyFont="1" applyFill="1" applyBorder="1" applyAlignment="1" applyProtection="1">
      <alignment horizontal="center" vertical="center"/>
      <protection hidden="1"/>
    </xf>
    <xf numFmtId="178" fontId="4" fillId="15" borderId="7" xfId="0" applyNumberFormat="1" applyFont="1" applyFill="1" applyBorder="1" applyAlignment="1" applyProtection="1">
      <alignment horizontal="center" vertical="center"/>
      <protection hidden="1"/>
    </xf>
    <xf numFmtId="178" fontId="4" fillId="16" borderId="7" xfId="0" applyNumberFormat="1" applyFont="1" applyFill="1" applyBorder="1" applyAlignment="1" applyProtection="1">
      <alignment horizontal="center" vertical="center"/>
      <protection hidden="1"/>
    </xf>
    <xf numFmtId="178" fontId="4" fillId="17" borderId="7" xfId="0" applyNumberFormat="1" applyFont="1" applyFill="1" applyBorder="1" applyAlignment="1" applyProtection="1">
      <alignment horizontal="center" vertical="center"/>
      <protection hidden="1"/>
    </xf>
    <xf numFmtId="178" fontId="4" fillId="18" borderId="7" xfId="0" applyNumberFormat="1" applyFont="1" applyFill="1" applyBorder="1" applyAlignment="1" applyProtection="1">
      <alignment horizontal="center" vertical="center"/>
      <protection hidden="1"/>
    </xf>
    <xf numFmtId="178" fontId="10" fillId="11" borderId="10" xfId="0" applyNumberFormat="1" applyFont="1" applyFill="1" applyBorder="1" applyAlignment="1" applyProtection="1">
      <alignment horizontal="center" vertical="center" wrapText="1"/>
      <protection hidden="1"/>
    </xf>
    <xf numFmtId="178" fontId="4" fillId="10" borderId="14" xfId="0" applyNumberFormat="1" applyFont="1" applyFill="1" applyBorder="1" applyAlignment="1" applyProtection="1">
      <alignment horizontal="center" vertical="center"/>
      <protection hidden="1"/>
    </xf>
    <xf numFmtId="178" fontId="4" fillId="19" borderId="7" xfId="0" applyNumberFormat="1" applyFont="1" applyFill="1" applyBorder="1" applyAlignment="1" applyProtection="1">
      <alignment horizontal="center" vertical="center"/>
      <protection hidden="1"/>
    </xf>
    <xf numFmtId="0" fontId="1" fillId="0" borderId="15" xfId="0" applyFont="1" applyBorder="1" applyAlignment="1">
      <alignment horizontal="center" vertical="center" wrapText="1"/>
    </xf>
    <xf numFmtId="178" fontId="4" fillId="10" borderId="16" xfId="0" applyNumberFormat="1" applyFont="1" applyFill="1" applyBorder="1" applyAlignment="1" applyProtection="1">
      <alignment horizontal="center" vertical="center"/>
      <protection hidden="1"/>
    </xf>
    <xf numFmtId="0" fontId="1" fillId="20" borderId="8" xfId="0" applyFont="1" applyFill="1" applyBorder="1" applyAlignment="1">
      <alignment horizontal="center" vertical="center"/>
    </xf>
    <xf numFmtId="0" fontId="4" fillId="20" borderId="17" xfId="0" applyFont="1" applyFill="1" applyBorder="1" applyAlignment="1">
      <alignment horizontal="center"/>
    </xf>
    <xf numFmtId="178" fontId="4" fillId="20" borderId="14" xfId="0" applyNumberFormat="1" applyFont="1" applyFill="1" applyBorder="1" applyAlignment="1" applyProtection="1">
      <alignment horizontal="center" vertical="center"/>
      <protection hidden="1"/>
    </xf>
    <xf numFmtId="0" fontId="11" fillId="0" borderId="5" xfId="0" applyFont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>
      <alignment horizontal="center" vertical="center" wrapText="1"/>
    </xf>
    <xf numFmtId="178" fontId="12" fillId="0" borderId="10" xfId="0" applyNumberFormat="1" applyFont="1" applyBorder="1" applyAlignment="1" applyProtection="1">
      <alignment horizontal="center" vertical="center"/>
      <protection hidden="1"/>
    </xf>
    <xf numFmtId="0" fontId="13" fillId="21" borderId="9" xfId="0" applyFont="1" applyFill="1" applyBorder="1" applyAlignment="1" applyProtection="1">
      <alignment horizontal="center" vertical="center"/>
      <protection hidden="1"/>
    </xf>
    <xf numFmtId="178" fontId="13" fillId="21" borderId="18" xfId="0" applyNumberFormat="1" applyFont="1" applyFill="1" applyBorder="1" applyAlignment="1" applyProtection="1">
      <alignment horizontal="center" vertical="center"/>
      <protection hidden="1"/>
    </xf>
    <xf numFmtId="0" fontId="13" fillId="21" borderId="11" xfId="0" applyFont="1" applyFill="1" applyBorder="1" applyAlignment="1" applyProtection="1">
      <alignment horizontal="center" vertical="center"/>
      <protection hidden="1"/>
    </xf>
    <xf numFmtId="178" fontId="13" fillId="21" borderId="19" xfId="0" applyNumberFormat="1" applyFont="1" applyFill="1" applyBorder="1" applyAlignment="1" applyProtection="1">
      <alignment horizontal="center" vertical="center"/>
      <protection hidden="1"/>
    </xf>
    <xf numFmtId="178" fontId="14" fillId="21" borderId="10" xfId="0" applyNumberFormat="1" applyFont="1" applyFill="1" applyBorder="1" applyAlignment="1" applyProtection="1">
      <alignment horizontal="center" vertical="center"/>
      <protection hidden="1"/>
    </xf>
    <xf numFmtId="0" fontId="11" fillId="0" borderId="15" xfId="0" applyFont="1" applyBorder="1" applyAlignment="1">
      <alignment horizontal="center" vertical="center" wrapText="1"/>
    </xf>
    <xf numFmtId="179" fontId="6" fillId="0" borderId="20" xfId="0" applyNumberFormat="1" applyFont="1" applyBorder="1" applyAlignment="1">
      <alignment horizontal="center" vertical="center" wrapText="1"/>
    </xf>
    <xf numFmtId="179" fontId="6" fillId="0" borderId="21" xfId="0" applyNumberFormat="1" applyFont="1" applyBorder="1" applyAlignment="1">
      <alignment horizontal="center" vertical="center" wrapText="1"/>
    </xf>
    <xf numFmtId="179" fontId="6" fillId="0" borderId="7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22" borderId="5" xfId="0" applyFont="1" applyFill="1" applyBorder="1" applyAlignment="1">
      <alignment horizontal="center" vertical="center"/>
    </xf>
    <xf numFmtId="0" fontId="9" fillId="22" borderId="21" xfId="0" applyFont="1" applyFill="1" applyBorder="1" applyAlignment="1" applyProtection="1">
      <alignment horizontal="center" vertical="center"/>
      <protection hidden="1"/>
    </xf>
    <xf numFmtId="178" fontId="9" fillId="0" borderId="7" xfId="0" applyNumberFormat="1" applyFont="1" applyBorder="1" applyAlignment="1" applyProtection="1">
      <alignment horizontal="center" vertical="center"/>
      <protection hidden="1"/>
    </xf>
    <xf numFmtId="0" fontId="7" fillId="22" borderId="15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horizontal="center"/>
    </xf>
    <xf numFmtId="178" fontId="14" fillId="10" borderId="16" xfId="0" applyNumberFormat="1" applyFont="1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(x86)\WebHard\WebHardExplorerPlus\Webhard_OpenFile\MNT%20&#49373;&#49328;&#54788;&#54889;_26&#45380;%204&#50900;.xlsx" TargetMode="External"/><Relationship Id="rId1" Type="http://schemas.openxmlformats.org/officeDocument/2006/relationships/externalLinkPath" Target="file:///C:\Program%20Files(x86)\WebHard\WebHardExplorerPlus\Webhard_OpenFile\MNT%20&#49373;&#49328;&#54788;&#54889;_26&#45380;%204&#509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라인"/>
      <sheetName val="M 종합현황"/>
      <sheetName val="생산계획"/>
      <sheetName val="4월 납품계획"/>
      <sheetName val="차월계획"/>
      <sheetName val="Sheet2"/>
      <sheetName val="납품일정"/>
      <sheetName val="화남미납"/>
      <sheetName val="일정(수정)최종 2025.02.28"/>
      <sheetName val="이마트몰"/>
      <sheetName val="이마트몰 (2)"/>
      <sheetName val="M 기준정보"/>
      <sheetName val="시스템 기준정보"/>
      <sheetName val="EPS7150외 판매"/>
      <sheetName val="26년"/>
      <sheetName val="25년"/>
      <sheetName val="24년"/>
      <sheetName val="23년"/>
      <sheetName val="22년"/>
      <sheetName val="21년"/>
      <sheetName val="20년"/>
      <sheetName val="19년"/>
      <sheetName val="18년"/>
      <sheetName val="종합"/>
      <sheetName val="BGF(CU향)"/>
      <sheetName val="거래처 주소지"/>
      <sheetName val="Sheet1"/>
      <sheetName val="라벨"/>
      <sheetName val="FEC코드"/>
      <sheetName val="BOE패널"/>
      <sheetName val="하나시스코드"/>
      <sheetName val="인원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B5" t="str">
            <v>TMS6000AC517</v>
          </cell>
          <cell r="C5" t="str">
            <v>PP6000DUAL</v>
          </cell>
          <cell r="D5" t="str">
            <v>-</v>
          </cell>
          <cell r="E5" t="str">
            <v>15"</v>
          </cell>
          <cell r="F5">
            <v>0.70399999999999996</v>
          </cell>
          <cell r="G5">
            <v>0.08</v>
          </cell>
          <cell r="H5">
            <v>0.78399999999999992</v>
          </cell>
        </row>
        <row r="6">
          <cell r="B6" t="str">
            <v>TMO6170TC415</v>
          </cell>
          <cell r="C6" t="str">
            <v>PP6170 BLACK＆W</v>
          </cell>
          <cell r="D6" t="str">
            <v>-</v>
          </cell>
          <cell r="E6" t="str">
            <v>17"</v>
          </cell>
          <cell r="F6">
            <v>0.44800000000000006</v>
          </cell>
          <cell r="G6">
            <v>0.08</v>
          </cell>
          <cell r="H6">
            <v>0.52800000000000002</v>
          </cell>
        </row>
        <row r="7">
          <cell r="B7" t="str">
            <v>TMP1115TI401-1</v>
          </cell>
          <cell r="C7" t="str">
            <v>AM-1115 재작업(BTC)</v>
          </cell>
          <cell r="D7" t="str">
            <v>BTC(재작업)</v>
          </cell>
          <cell r="E7" t="str">
            <v>15"</v>
          </cell>
          <cell r="F7">
            <v>0.12</v>
          </cell>
          <cell r="G7">
            <v>0.08</v>
          </cell>
          <cell r="H7">
            <v>0.2</v>
          </cell>
        </row>
        <row r="8">
          <cell r="B8" t="str">
            <v>TMP1115TI401-3</v>
          </cell>
          <cell r="C8" t="str">
            <v>AM-1115 재작업(BTC) POLE</v>
          </cell>
          <cell r="D8" t="str">
            <v>BTC(재작업)</v>
          </cell>
          <cell r="E8" t="str">
            <v>15"</v>
          </cell>
          <cell r="F8">
            <v>0.12</v>
          </cell>
          <cell r="G8">
            <v>0.08</v>
          </cell>
          <cell r="H8">
            <v>0.2</v>
          </cell>
        </row>
        <row r="9">
          <cell r="B9" t="str">
            <v>TMO6000TI504</v>
          </cell>
          <cell r="C9" t="str">
            <v>EM6000TI(HANASYS-STAND)</v>
          </cell>
          <cell r="D9" t="str">
            <v>EMSYS</v>
          </cell>
          <cell r="E9" t="str">
            <v>10.4"</v>
          </cell>
          <cell r="F9">
            <v>0.44800000000000006</v>
          </cell>
          <cell r="G9">
            <v>0.08</v>
          </cell>
          <cell r="H9">
            <v>0.52800000000000002</v>
          </cell>
        </row>
        <row r="10">
          <cell r="B10" t="str">
            <v>TMP6000TI510</v>
          </cell>
          <cell r="C10" t="str">
            <v>PP6000T NON STAND BLACK FEC</v>
          </cell>
          <cell r="D10" t="str">
            <v>FEC</v>
          </cell>
          <cell r="E10" t="str">
            <v>10.4"</v>
          </cell>
          <cell r="F10">
            <v>0.43200000000000005</v>
          </cell>
          <cell r="G10">
            <v>0.08</v>
          </cell>
          <cell r="H10">
            <v>0.51200000000000001</v>
          </cell>
        </row>
        <row r="11">
          <cell r="B11" t="str">
            <v>TMP6100NI106</v>
          </cell>
          <cell r="C11" t="str">
            <v>PP6100 12V WHITE</v>
          </cell>
          <cell r="D11" t="str">
            <v>FEC</v>
          </cell>
          <cell r="E11" t="str">
            <v>10.4"</v>
          </cell>
          <cell r="F11">
            <v>0.24</v>
          </cell>
          <cell r="G11">
            <v>0.08</v>
          </cell>
          <cell r="H11">
            <v>0.32</v>
          </cell>
        </row>
        <row r="12">
          <cell r="B12" t="str">
            <v>TMP6100NI107</v>
          </cell>
          <cell r="C12" t="str">
            <v xml:space="preserve">PP6100 12V BLACK </v>
          </cell>
          <cell r="D12" t="str">
            <v>FEC</v>
          </cell>
          <cell r="E12" t="str">
            <v>10.4"</v>
          </cell>
          <cell r="F12">
            <v>0.24</v>
          </cell>
          <cell r="G12">
            <v>0.08</v>
          </cell>
          <cell r="H12">
            <v>0.32</v>
          </cell>
        </row>
        <row r="13">
          <cell r="B13" t="str">
            <v>TMP6100NI108</v>
          </cell>
          <cell r="C13" t="str">
            <v>PP6100U BLACK 도시바(5V)</v>
          </cell>
          <cell r="D13" t="str">
            <v>FEC</v>
          </cell>
          <cell r="E13" t="str">
            <v>10.4"</v>
          </cell>
          <cell r="F13">
            <v>0.24</v>
          </cell>
          <cell r="G13">
            <v>0.08</v>
          </cell>
          <cell r="H13">
            <v>0.32</v>
          </cell>
        </row>
        <row r="14">
          <cell r="B14" t="str">
            <v>TMP6100NI112</v>
          </cell>
          <cell r="C14" t="str">
            <v>PP6100U BLACK 스타벅스향</v>
          </cell>
          <cell r="D14" t="str">
            <v>FEC</v>
          </cell>
          <cell r="E14" t="str">
            <v>10.4"</v>
          </cell>
          <cell r="F14">
            <v>0.36</v>
          </cell>
          <cell r="G14">
            <v>0.1</v>
          </cell>
          <cell r="H14">
            <v>0.45999999999999996</v>
          </cell>
        </row>
        <row r="15">
          <cell r="B15" t="str">
            <v>SMP8150003</v>
          </cell>
          <cell r="C15" t="str">
            <v>GS슈퍼 모니터 Assy</v>
          </cell>
          <cell r="D15" t="str">
            <v>FEC</v>
          </cell>
          <cell r="E15" t="str">
            <v>15"</v>
          </cell>
          <cell r="F15">
            <v>0.12</v>
          </cell>
          <cell r="H15">
            <v>0.12</v>
          </cell>
        </row>
        <row r="16">
          <cell r="B16" t="str">
            <v>TKO8150001</v>
          </cell>
          <cell r="C16" t="str">
            <v>SCOS8150 (GS슈퍼)</v>
          </cell>
          <cell r="D16" t="str">
            <v>FEC</v>
          </cell>
          <cell r="E16" t="str">
            <v>15"</v>
          </cell>
          <cell r="F16">
            <v>1.464</v>
          </cell>
          <cell r="G16">
            <v>0.16</v>
          </cell>
          <cell r="H16">
            <v>1.6239999999999999</v>
          </cell>
        </row>
        <row r="17">
          <cell r="B17" t="str">
            <v>TKO8150003</v>
          </cell>
          <cell r="C17" t="str">
            <v>SCOS8150 NEW GS슈퍼 2차</v>
          </cell>
          <cell r="D17" t="str">
            <v>FEC</v>
          </cell>
          <cell r="E17" t="str">
            <v>15"</v>
          </cell>
          <cell r="F17">
            <v>1.536</v>
          </cell>
          <cell r="G17">
            <v>0.16</v>
          </cell>
          <cell r="H17">
            <v>1.696</v>
          </cell>
        </row>
        <row r="18">
          <cell r="B18" t="str">
            <v>TKO8150007</v>
          </cell>
          <cell r="C18" t="str">
            <v xml:space="preserve">SCOS8150 NEW GS슈퍼 </v>
          </cell>
          <cell r="D18" t="str">
            <v>FEC</v>
          </cell>
          <cell r="E18" t="str">
            <v>15"</v>
          </cell>
          <cell r="F18">
            <v>1.8239999999999998</v>
          </cell>
          <cell r="G18">
            <v>0.25</v>
          </cell>
          <cell r="H18">
            <v>2.0739999999999998</v>
          </cell>
        </row>
        <row r="19">
          <cell r="B19" t="str">
            <v>TKO8150008</v>
          </cell>
          <cell r="C19" t="str">
            <v>SCOS8150 NEW GS 편의점</v>
          </cell>
          <cell r="D19" t="str">
            <v>FEC</v>
          </cell>
          <cell r="E19" t="str">
            <v>15"</v>
          </cell>
          <cell r="F19">
            <v>1.8239999999999998</v>
          </cell>
          <cell r="G19">
            <v>0.25</v>
          </cell>
          <cell r="H19">
            <v>2.0739999999999998</v>
          </cell>
        </row>
        <row r="20">
          <cell r="B20" t="str">
            <v>TMO1115TI401</v>
          </cell>
          <cell r="C20" t="str">
            <v>AM-1115 BLACK SK향(구형 F/W)</v>
          </cell>
          <cell r="D20" t="str">
            <v>FEC</v>
          </cell>
          <cell r="E20" t="str">
            <v>15"</v>
          </cell>
          <cell r="F20">
            <v>0.48</v>
          </cell>
          <cell r="G20">
            <v>0.12</v>
          </cell>
          <cell r="H20">
            <v>0.56999999999999995</v>
          </cell>
        </row>
        <row r="21">
          <cell r="B21" t="str">
            <v>TMO1115TI402</v>
          </cell>
          <cell r="C21" t="str">
            <v>AM-1115 BLACK (하나스탠드)(신형 F/W)</v>
          </cell>
          <cell r="D21" t="str">
            <v>FEC</v>
          </cell>
          <cell r="E21" t="str">
            <v>15"</v>
          </cell>
          <cell r="F21">
            <v>0.48</v>
          </cell>
          <cell r="G21">
            <v>0.12</v>
          </cell>
          <cell r="H21">
            <v>0.56999999999999995</v>
          </cell>
        </row>
        <row r="22">
          <cell r="B22" t="str">
            <v>TMP1115NI406</v>
          </cell>
          <cell r="C22" t="str">
            <v>AM-1115 SILVER＆W</v>
          </cell>
          <cell r="D22" t="str">
            <v>FEC</v>
          </cell>
          <cell r="E22" t="str">
            <v>15"</v>
          </cell>
          <cell r="F22">
            <v>0.48</v>
          </cell>
          <cell r="G22">
            <v>0.08</v>
          </cell>
          <cell r="H22">
            <v>0.53199999999999992</v>
          </cell>
        </row>
        <row r="23">
          <cell r="B23" t="str">
            <v>TMP1115NI407</v>
          </cell>
          <cell r="C23" t="str">
            <v>AM-1115 SILVER＆W</v>
          </cell>
          <cell r="D23" t="str">
            <v>FEC</v>
          </cell>
          <cell r="E23" t="str">
            <v>15"</v>
          </cell>
          <cell r="F23">
            <v>0.48</v>
          </cell>
          <cell r="G23">
            <v>0.12</v>
          </cell>
          <cell r="H23">
            <v>0.56999999999999995</v>
          </cell>
        </row>
        <row r="24">
          <cell r="B24" t="str">
            <v>TMP1115NI408</v>
          </cell>
          <cell r="C24" t="str">
            <v>AM-1115 SILVER＆B(신형 F/W)</v>
          </cell>
          <cell r="D24" t="str">
            <v>FEC</v>
          </cell>
          <cell r="E24" t="str">
            <v>15"</v>
          </cell>
          <cell r="F24">
            <v>0.48</v>
          </cell>
          <cell r="G24">
            <v>0.08</v>
          </cell>
          <cell r="H24">
            <v>0.53199999999999992</v>
          </cell>
        </row>
        <row r="25">
          <cell r="B25" t="str">
            <v>TMP1115NI409</v>
          </cell>
          <cell r="C25" t="str">
            <v>AM-1115  FEC향 (인천공항) </v>
          </cell>
          <cell r="D25" t="str">
            <v>FEC</v>
          </cell>
          <cell r="E25" t="str">
            <v>15"</v>
          </cell>
          <cell r="F25">
            <v>0.48</v>
          </cell>
          <cell r="G25">
            <v>0.08</v>
          </cell>
          <cell r="H25">
            <v>0.53199999999999992</v>
          </cell>
        </row>
        <row r="26">
          <cell r="B26" t="str">
            <v>TMP1115NI410</v>
          </cell>
          <cell r="C26" t="str">
            <v>AM-1115 BEIGE COLOR FEC향</v>
          </cell>
          <cell r="D26" t="str">
            <v>FEC</v>
          </cell>
          <cell r="E26" t="str">
            <v>15"</v>
          </cell>
          <cell r="F26">
            <v>0.48</v>
          </cell>
          <cell r="G26">
            <v>0.08</v>
          </cell>
          <cell r="H26">
            <v>0.53199999999999992</v>
          </cell>
        </row>
        <row r="27">
          <cell r="B27" t="str">
            <v>TMP1115NI411</v>
          </cell>
          <cell r="C27" t="str">
            <v>AM-1115 BLACK (스탠드×)</v>
          </cell>
          <cell r="D27" t="str">
            <v>FEC</v>
          </cell>
          <cell r="E27" t="str">
            <v>15"</v>
          </cell>
          <cell r="F27">
            <v>0.48</v>
          </cell>
          <cell r="G27">
            <v>0.08</v>
          </cell>
          <cell r="H27">
            <v>0.53199999999999992</v>
          </cell>
        </row>
        <row r="28">
          <cell r="B28" t="str">
            <v>TMP1115TI401</v>
          </cell>
          <cell r="C28" t="str">
            <v>AM-1115 GS25향(신형 F/W)</v>
          </cell>
          <cell r="D28" t="str">
            <v>FEC</v>
          </cell>
          <cell r="E28" t="str">
            <v>15"</v>
          </cell>
          <cell r="F28">
            <v>0.48</v>
          </cell>
          <cell r="G28">
            <v>0.12</v>
          </cell>
          <cell r="H28">
            <v>0.56999999999999995</v>
          </cell>
        </row>
        <row r="29">
          <cell r="B29" t="str">
            <v>TMP1115TI403</v>
          </cell>
          <cell r="C29" t="str">
            <v>AM-1115 BEIGE TOUCH</v>
          </cell>
          <cell r="D29" t="str">
            <v>FEC</v>
          </cell>
          <cell r="E29" t="str">
            <v>15"</v>
          </cell>
          <cell r="F29">
            <v>0.48</v>
          </cell>
          <cell r="G29">
            <v>0.08</v>
          </cell>
          <cell r="H29">
            <v>0.53199999999999992</v>
          </cell>
        </row>
        <row r="30">
          <cell r="B30" t="str">
            <v>TMP1115TI404</v>
          </cell>
          <cell r="C30" t="str">
            <v>AM-1115 BLACK 수협향</v>
          </cell>
          <cell r="D30" t="str">
            <v>FEC</v>
          </cell>
          <cell r="E30" t="str">
            <v>15"</v>
          </cell>
          <cell r="F30">
            <v>0.4</v>
          </cell>
          <cell r="G30">
            <v>0.08</v>
          </cell>
          <cell r="H30">
            <v>0.48000000000000004</v>
          </cell>
        </row>
        <row r="31">
          <cell r="B31" t="str">
            <v>TMP6000NI501</v>
          </cell>
          <cell r="C31" t="str">
            <v>PP6000NIB-NLAD</v>
          </cell>
          <cell r="D31" t="str">
            <v>FEC</v>
          </cell>
          <cell r="E31" t="str">
            <v>15"</v>
          </cell>
          <cell r="F31">
            <v>0.29599999999999999</v>
          </cell>
          <cell r="G31">
            <v>0.08</v>
          </cell>
          <cell r="H31">
            <v>0.376</v>
          </cell>
        </row>
        <row r="32">
          <cell r="B32" t="str">
            <v>TMP6000NI503</v>
          </cell>
          <cell r="C32" t="str">
            <v>PP6000NIB</v>
          </cell>
          <cell r="D32" t="str">
            <v>FEC</v>
          </cell>
          <cell r="E32" t="str">
            <v>15"</v>
          </cell>
          <cell r="F32">
            <v>0.29599999999999999</v>
          </cell>
          <cell r="G32">
            <v>0.08</v>
          </cell>
          <cell r="H32">
            <v>0.376</v>
          </cell>
        </row>
        <row r="33">
          <cell r="B33" t="str">
            <v>TMP6000NI510</v>
          </cell>
          <cell r="C33" t="str">
            <v>PP6000 BLACK＆WHIT</v>
          </cell>
          <cell r="D33" t="str">
            <v>FEC</v>
          </cell>
          <cell r="E33" t="str">
            <v>15"</v>
          </cell>
          <cell r="F33">
            <v>0.29599999999999999</v>
          </cell>
          <cell r="G33">
            <v>0.08</v>
          </cell>
          <cell r="H33">
            <v>0.376</v>
          </cell>
        </row>
        <row r="34">
          <cell r="B34" t="str">
            <v>TMP6000NI511</v>
          </cell>
          <cell r="C34" t="str">
            <v>PP6000 BLACK 아스템향</v>
          </cell>
          <cell r="D34" t="str">
            <v>FEC</v>
          </cell>
          <cell r="E34" t="str">
            <v>15"</v>
          </cell>
          <cell r="F34">
            <v>0.43200000000000005</v>
          </cell>
          <cell r="G34">
            <v>0.08</v>
          </cell>
          <cell r="H34">
            <v>0.51200000000000001</v>
          </cell>
        </row>
        <row r="35">
          <cell r="B35" t="str">
            <v>TMP6000NI515</v>
          </cell>
          <cell r="C35" t="str">
            <v>PP6000 BLACK 휘리치향</v>
          </cell>
          <cell r="D35" t="str">
            <v>FEC</v>
          </cell>
          <cell r="E35" t="str">
            <v>15"</v>
          </cell>
          <cell r="F35">
            <v>0.29599999999999999</v>
          </cell>
          <cell r="G35">
            <v>0.08</v>
          </cell>
          <cell r="H35">
            <v>0.376</v>
          </cell>
        </row>
        <row r="36">
          <cell r="B36" t="str">
            <v>TMP6000TI107</v>
          </cell>
          <cell r="C36" t="str">
            <v>PP6000S BLACK TOUCH</v>
          </cell>
          <cell r="D36" t="str">
            <v>FEC</v>
          </cell>
          <cell r="E36" t="str">
            <v>15"</v>
          </cell>
          <cell r="F36">
            <v>0.29599999999999999</v>
          </cell>
          <cell r="G36">
            <v>0.08</v>
          </cell>
          <cell r="H36">
            <v>0.376</v>
          </cell>
        </row>
        <row r="37">
          <cell r="B37" t="str">
            <v>TMP6000TI108</v>
          </cell>
          <cell r="C37" t="str">
            <v>PP6000S BLACK TOUCH</v>
          </cell>
          <cell r="D37" t="str">
            <v>FEC</v>
          </cell>
          <cell r="E37" t="str">
            <v>15"</v>
          </cell>
          <cell r="F37">
            <v>0.29599999999999999</v>
          </cell>
          <cell r="G37">
            <v>0.08</v>
          </cell>
          <cell r="H37">
            <v>0.376</v>
          </cell>
        </row>
        <row r="38">
          <cell r="B38" t="str">
            <v>TKO8215002</v>
          </cell>
          <cell r="C38" t="str">
            <v>KIOSK8215 롯데리아</v>
          </cell>
          <cell r="D38" t="str">
            <v>FEC</v>
          </cell>
          <cell r="E38" t="str">
            <v>21.5"</v>
          </cell>
          <cell r="F38">
            <v>1.248</v>
          </cell>
          <cell r="G38">
            <v>0.16669999999999999</v>
          </cell>
          <cell r="H38">
            <v>1.4147000000000001</v>
          </cell>
        </row>
        <row r="39">
          <cell r="B39" t="str">
            <v>TKO8238001</v>
          </cell>
          <cell r="C39" t="str">
            <v>SCOS8238 (하이마트)</v>
          </cell>
          <cell r="D39" t="str">
            <v>FEC</v>
          </cell>
          <cell r="E39" t="str">
            <v>23.8"</v>
          </cell>
          <cell r="F39">
            <v>1.5333600000000001</v>
          </cell>
          <cell r="G39">
            <v>0.16669999999999999</v>
          </cell>
          <cell r="H39">
            <v>1.7000600000000001</v>
          </cell>
        </row>
        <row r="40">
          <cell r="B40" t="str">
            <v>TKO8320001</v>
          </cell>
          <cell r="C40" t="str">
            <v>SCOS8320 (롯데 푸드코트)</v>
          </cell>
          <cell r="D40" t="str">
            <v>FEC</v>
          </cell>
          <cell r="E40" t="str">
            <v>32"</v>
          </cell>
          <cell r="F40">
            <v>1.6</v>
          </cell>
          <cell r="G40">
            <v>0.17</v>
          </cell>
          <cell r="H40">
            <v>1.77</v>
          </cell>
        </row>
        <row r="41">
          <cell r="B41" t="str">
            <v>TMO6097TI001</v>
          </cell>
          <cell r="C41" t="str">
            <v>PP6097 USB 퓨처젠향</v>
          </cell>
          <cell r="D41" t="str">
            <v>FEC</v>
          </cell>
          <cell r="E41" t="str">
            <v>9.7"</v>
          </cell>
          <cell r="F41">
            <v>0.24</v>
          </cell>
          <cell r="G41">
            <v>0.08</v>
          </cell>
          <cell r="H41">
            <v>0.32</v>
          </cell>
        </row>
        <row r="42">
          <cell r="B42" t="str">
            <v>SMS6T15002</v>
          </cell>
          <cell r="C42" t="str">
            <v>BTC SECU SINGLE</v>
          </cell>
          <cell r="D42" t="str">
            <v>FEC</v>
          </cell>
          <cell r="F42">
            <v>9.6000000000000002E-2</v>
          </cell>
          <cell r="G42">
            <v>0.05</v>
          </cell>
          <cell r="H42">
            <v>0.14600000000000002</v>
          </cell>
        </row>
        <row r="43">
          <cell r="B43" t="str">
            <v>SMS6T15020</v>
          </cell>
          <cell r="C43" t="str">
            <v>AM1115 FEC향 大 W</v>
          </cell>
          <cell r="D43" t="str">
            <v>FEC</v>
          </cell>
          <cell r="F43">
            <v>9.6000000000000002E-2</v>
          </cell>
          <cell r="G43">
            <v>0.05</v>
          </cell>
          <cell r="H43">
            <v>0.14600000000000002</v>
          </cell>
        </row>
        <row r="44">
          <cell r="B44" t="str">
            <v>SMS6T15021</v>
          </cell>
          <cell r="C44" t="str">
            <v>AM1115 FEC향 小 B</v>
          </cell>
          <cell r="D44" t="str">
            <v>FEC</v>
          </cell>
          <cell r="F44">
            <v>9.6000000000000002E-2</v>
          </cell>
          <cell r="G44">
            <v>0.05</v>
          </cell>
          <cell r="H44">
            <v>0.14600000000000002</v>
          </cell>
        </row>
        <row r="45">
          <cell r="B45" t="str">
            <v>SMS6T15022</v>
          </cell>
          <cell r="C45" t="str">
            <v>AM1115 FEC향 小 W</v>
          </cell>
          <cell r="D45" t="str">
            <v>FEC</v>
          </cell>
          <cell r="F45">
            <v>9.6000000000000002E-2</v>
          </cell>
          <cell r="G45">
            <v>0.05</v>
          </cell>
          <cell r="H45">
            <v>0.14600000000000002</v>
          </cell>
        </row>
        <row r="46">
          <cell r="B46" t="str">
            <v>TKO8150002</v>
          </cell>
          <cell r="C46" t="str">
            <v>GS슈퍼 경광등</v>
          </cell>
          <cell r="D46" t="str">
            <v>FEC</v>
          </cell>
          <cell r="F46">
            <v>0.4</v>
          </cell>
          <cell r="G46">
            <v>0.16700000000000001</v>
          </cell>
          <cell r="H46">
            <v>0.56700000000000006</v>
          </cell>
        </row>
        <row r="47">
          <cell r="B47" t="str">
            <v>TMP1115TI401-2</v>
          </cell>
          <cell r="C47" t="str">
            <v>AM-1015 재작업(FEC)</v>
          </cell>
          <cell r="D47" t="str">
            <v>FEC(재작업)</v>
          </cell>
          <cell r="E47" t="str">
            <v>15"</v>
          </cell>
          <cell r="F47">
            <v>0.2</v>
          </cell>
          <cell r="G47">
            <v>0.08</v>
          </cell>
          <cell r="H47">
            <v>0.28000000000000003</v>
          </cell>
        </row>
        <row r="48">
          <cell r="B48" t="str">
            <v>TMP1115TI401-4</v>
          </cell>
          <cell r="C48" t="str">
            <v>AM-1015 재작업(FEC) POLE</v>
          </cell>
          <cell r="D48" t="str">
            <v>FEC(재작업)</v>
          </cell>
          <cell r="E48" t="str">
            <v>15"</v>
          </cell>
          <cell r="F48">
            <v>0.2</v>
          </cell>
          <cell r="G48">
            <v>0.08</v>
          </cell>
          <cell r="H48">
            <v>0.28000000000000003</v>
          </cell>
        </row>
        <row r="49">
          <cell r="B49" t="str">
            <v>TMP1115TI402</v>
          </cell>
          <cell r="C49" t="str">
            <v>AM-1115 TOUCH내장 교체용</v>
          </cell>
          <cell r="D49" t="str">
            <v>FEC(재작업)</v>
          </cell>
          <cell r="E49" t="str">
            <v>15"</v>
          </cell>
          <cell r="F49">
            <v>0.48</v>
          </cell>
          <cell r="G49">
            <v>0.12</v>
          </cell>
          <cell r="H49">
            <v>0.6</v>
          </cell>
        </row>
        <row r="50">
          <cell r="B50" t="str">
            <v>TMO6000TC520</v>
          </cell>
          <cell r="C50" t="str">
            <v>PP6000TKD BLACK 첼시향</v>
          </cell>
          <cell r="D50" t="str">
            <v>RS LINE</v>
          </cell>
          <cell r="E50" t="str">
            <v>15"</v>
          </cell>
          <cell r="F50">
            <v>0.44800000000000006</v>
          </cell>
          <cell r="G50">
            <v>0.16</v>
          </cell>
          <cell r="H50">
            <v>0.6080000000000001</v>
          </cell>
        </row>
        <row r="51">
          <cell r="B51" t="str">
            <v>TMP6000TI508</v>
          </cell>
          <cell r="C51" t="str">
            <v>PP6000TKD BLACK</v>
          </cell>
          <cell r="D51" t="str">
            <v>RS LINE</v>
          </cell>
          <cell r="E51" t="str">
            <v>15"</v>
          </cell>
          <cell r="F51">
            <v>0.44800000000000006</v>
          </cell>
          <cell r="G51">
            <v>0.16</v>
          </cell>
          <cell r="H51">
            <v>0.6080000000000001</v>
          </cell>
        </row>
        <row r="52">
          <cell r="B52" t="str">
            <v>TMP6100TI108</v>
          </cell>
          <cell r="C52" t="str">
            <v>PP6100NIB-F3</v>
          </cell>
          <cell r="D52" t="str">
            <v>SHTRIH-M</v>
          </cell>
          <cell r="E52" t="str">
            <v>10.4"</v>
          </cell>
          <cell r="F52">
            <v>0.24</v>
          </cell>
          <cell r="G52">
            <v>0.08</v>
          </cell>
          <cell r="H52">
            <v>0.32</v>
          </cell>
        </row>
        <row r="53">
          <cell r="B53" t="str">
            <v>TMO6100NI104</v>
          </cell>
          <cell r="C53" t="str">
            <v>PP6100 BLACK D-SUB</v>
          </cell>
          <cell r="D53" t="str">
            <v>도시바</v>
          </cell>
          <cell r="E53" t="str">
            <v>10.4"</v>
          </cell>
          <cell r="F53">
            <v>0.21600000000000003</v>
          </cell>
          <cell r="G53">
            <v>0.13</v>
          </cell>
          <cell r="H53">
            <v>0.34600000000000003</v>
          </cell>
        </row>
        <row r="54">
          <cell r="B54" t="str">
            <v>TMO6100NI106</v>
          </cell>
          <cell r="C54" t="str">
            <v xml:space="preserve">PP6100 BLACK HUB STAND </v>
          </cell>
          <cell r="D54" t="str">
            <v>도시바</v>
          </cell>
          <cell r="E54" t="str">
            <v>10.4"</v>
          </cell>
          <cell r="F54">
            <v>0.24</v>
          </cell>
          <cell r="G54">
            <v>0.4</v>
          </cell>
          <cell r="H54">
            <v>0.64</v>
          </cell>
        </row>
        <row r="55">
          <cell r="B55" t="str">
            <v>TMO6100NI109</v>
          </cell>
          <cell r="C55" t="str">
            <v>PP6100 DP Board 변경 모델</v>
          </cell>
          <cell r="D55" t="str">
            <v>도시바</v>
          </cell>
          <cell r="E55" t="str">
            <v>10.4"</v>
          </cell>
          <cell r="F55">
            <v>0.24</v>
          </cell>
          <cell r="G55">
            <v>0.08</v>
          </cell>
          <cell r="H55">
            <v>0.32</v>
          </cell>
        </row>
        <row r="56">
          <cell r="B56" t="str">
            <v>TMP6100NI104</v>
          </cell>
          <cell r="C56" t="str">
            <v>PP6100 BLACK D-SUB</v>
          </cell>
          <cell r="D56" t="str">
            <v>도시바</v>
          </cell>
          <cell r="E56" t="str">
            <v>10.4"</v>
          </cell>
          <cell r="F56">
            <v>0.24</v>
          </cell>
          <cell r="G56">
            <v>0.08</v>
          </cell>
          <cell r="H56">
            <v>0.32</v>
          </cell>
        </row>
        <row r="57">
          <cell r="B57" t="str">
            <v>TMP6100NI109</v>
          </cell>
          <cell r="C57" t="str">
            <v>PP6100 12V BLACK [다이소향]</v>
          </cell>
          <cell r="D57" t="str">
            <v>도시바</v>
          </cell>
          <cell r="E57" t="str">
            <v>10.4"</v>
          </cell>
          <cell r="F57">
            <v>0.24</v>
          </cell>
          <cell r="G57">
            <v>0.08</v>
          </cell>
          <cell r="H57">
            <v>0.32</v>
          </cell>
        </row>
        <row r="58">
          <cell r="B58" t="str">
            <v>TMP6100NI111</v>
          </cell>
          <cell r="C58" t="str">
            <v>PP6100 W/O STAND WHITE</v>
          </cell>
          <cell r="D58" t="str">
            <v>도시바</v>
          </cell>
          <cell r="E58" t="str">
            <v>10.4"</v>
          </cell>
          <cell r="F58">
            <v>0.24</v>
          </cell>
          <cell r="G58">
            <v>0.08</v>
          </cell>
          <cell r="H58">
            <v>0.32</v>
          </cell>
        </row>
        <row r="59">
          <cell r="B59" t="str">
            <v>TMO6000NC502</v>
          </cell>
          <cell r="C59" t="str">
            <v>PP6000 BEIGE COLOR</v>
          </cell>
          <cell r="D59" t="str">
            <v>도시바</v>
          </cell>
          <cell r="E59" t="str">
            <v>15"</v>
          </cell>
          <cell r="F59">
            <v>0.29599999999999999</v>
          </cell>
          <cell r="G59">
            <v>0.08</v>
          </cell>
          <cell r="H59">
            <v>0.376</v>
          </cell>
        </row>
        <row r="60">
          <cell r="B60" t="str">
            <v>TMO6000NI401</v>
          </cell>
          <cell r="C60" t="str">
            <v>PP6000S 이마트24</v>
          </cell>
          <cell r="D60" t="str">
            <v>도시바</v>
          </cell>
          <cell r="E60" t="str">
            <v>15"</v>
          </cell>
          <cell r="F60">
            <v>0.47199999999999998</v>
          </cell>
          <cell r="G60">
            <v>0.08</v>
          </cell>
          <cell r="H60">
            <v>0.55199999999999994</v>
          </cell>
        </row>
        <row r="61">
          <cell r="B61" t="str">
            <v>TMO6000NI402</v>
          </cell>
          <cell r="C61" t="str">
            <v>PP6000S 프리미엄아울렛</v>
          </cell>
          <cell r="D61" t="str">
            <v>도시바</v>
          </cell>
          <cell r="E61" t="str">
            <v>15"</v>
          </cell>
          <cell r="F61">
            <v>0.47199999999999998</v>
          </cell>
          <cell r="G61">
            <v>0.08</v>
          </cell>
          <cell r="H61">
            <v>0.55199999999999994</v>
          </cell>
        </row>
        <row r="62">
          <cell r="B62" t="str">
            <v>TMO6150NI401</v>
          </cell>
          <cell r="C62" t="str">
            <v>T6150F 도시바향 [AOU]</v>
          </cell>
          <cell r="D62" t="str">
            <v>도시바</v>
          </cell>
          <cell r="E62" t="str">
            <v>15"</v>
          </cell>
          <cell r="F62">
            <v>0.48</v>
          </cell>
          <cell r="G62">
            <v>0.15</v>
          </cell>
          <cell r="H62">
            <v>0.63</v>
          </cell>
        </row>
        <row r="63">
          <cell r="B63" t="str">
            <v>TMO6150NI402</v>
          </cell>
          <cell r="C63" t="str">
            <v>T6150F 도시바향 (일괄) DP</v>
          </cell>
          <cell r="D63" t="str">
            <v>도시바</v>
          </cell>
          <cell r="E63" t="str">
            <v>15"</v>
          </cell>
          <cell r="F63">
            <v>0.48</v>
          </cell>
          <cell r="G63">
            <v>0.15</v>
          </cell>
          <cell r="H63">
            <v>0.63</v>
          </cell>
        </row>
        <row r="64">
          <cell r="B64" t="str">
            <v>TMO6150NI403</v>
          </cell>
          <cell r="C64" t="str">
            <v>T6150F 도시바향 (섹션) DP</v>
          </cell>
          <cell r="D64" t="str">
            <v>도시바</v>
          </cell>
          <cell r="E64" t="str">
            <v>15"</v>
          </cell>
          <cell r="F64">
            <v>0.48</v>
          </cell>
          <cell r="G64">
            <v>0.15</v>
          </cell>
          <cell r="H64">
            <v>0.63</v>
          </cell>
        </row>
        <row r="65">
          <cell r="B65" t="str">
            <v>TMO6150NI404</v>
          </cell>
          <cell r="C65" t="str">
            <v>T6150F BLACK(아모레)</v>
          </cell>
          <cell r="D65" t="str">
            <v>아스템즈</v>
          </cell>
          <cell r="E65" t="str">
            <v>15"</v>
          </cell>
          <cell r="F65">
            <v>0.8</v>
          </cell>
          <cell r="G65">
            <v>0.08</v>
          </cell>
          <cell r="H65">
            <v>0.88</v>
          </cell>
        </row>
        <row r="66">
          <cell r="B66" t="str">
            <v>TMO6150NI406</v>
          </cell>
          <cell r="C66" t="str">
            <v>T6150F WHITE(아모레)</v>
          </cell>
          <cell r="D66" t="str">
            <v>도시바</v>
          </cell>
          <cell r="E66" t="str">
            <v>15"</v>
          </cell>
          <cell r="F66">
            <v>0.8</v>
          </cell>
          <cell r="G66">
            <v>0.08</v>
          </cell>
          <cell r="H66">
            <v>0.88</v>
          </cell>
        </row>
        <row r="67">
          <cell r="B67" t="str">
            <v>TMO6150TI401</v>
          </cell>
          <cell r="C67" t="str">
            <v>T6150FT 도시바향 [AOU]</v>
          </cell>
          <cell r="D67" t="str">
            <v>도시바</v>
          </cell>
          <cell r="E67" t="str">
            <v>15"</v>
          </cell>
          <cell r="F67">
            <v>0.52</v>
          </cell>
          <cell r="G67">
            <v>0.15</v>
          </cell>
          <cell r="H67">
            <v>0.67</v>
          </cell>
        </row>
        <row r="68">
          <cell r="B68" t="str">
            <v>TMO6150TI402</v>
          </cell>
          <cell r="C68" t="str">
            <v>T6150FTK 도시바향 (일괄)RGB</v>
          </cell>
          <cell r="D68" t="str">
            <v>도시바</v>
          </cell>
          <cell r="E68" t="str">
            <v>15"</v>
          </cell>
          <cell r="F68">
            <v>0.48</v>
          </cell>
          <cell r="G68">
            <v>0.15</v>
          </cell>
          <cell r="H68">
            <v>0.63</v>
          </cell>
        </row>
        <row r="69">
          <cell r="B69" t="str">
            <v>TMO6150TI403</v>
          </cell>
          <cell r="C69" t="str">
            <v>T6150FTK 도시바향 (섹션)RGB</v>
          </cell>
          <cell r="D69" t="str">
            <v>도시바</v>
          </cell>
          <cell r="E69" t="str">
            <v>15"</v>
          </cell>
          <cell r="F69">
            <v>0.48</v>
          </cell>
          <cell r="G69">
            <v>0.15</v>
          </cell>
          <cell r="H69">
            <v>0.63</v>
          </cell>
        </row>
        <row r="70">
          <cell r="B70" t="str">
            <v>TMO6150TI404</v>
          </cell>
          <cell r="C70" t="str">
            <v>T6150FTK 도시바향 (섹션)RGB</v>
          </cell>
          <cell r="D70" t="str">
            <v>도시바</v>
          </cell>
          <cell r="E70" t="str">
            <v>15"</v>
          </cell>
          <cell r="F70">
            <v>0.55999999999999994</v>
          </cell>
          <cell r="G70">
            <v>0.15</v>
          </cell>
          <cell r="H70">
            <v>0.71</v>
          </cell>
        </row>
        <row r="71">
          <cell r="B71" t="str">
            <v>TMO6151NI003</v>
          </cell>
          <cell r="C71" t="str">
            <v>PP6151F 퓨처젠향(블랙+스피커)</v>
          </cell>
          <cell r="D71" t="str">
            <v>도시바</v>
          </cell>
          <cell r="E71" t="str">
            <v>15"</v>
          </cell>
          <cell r="F71">
            <v>0.47199999999999998</v>
          </cell>
          <cell r="G71">
            <v>0.08</v>
          </cell>
          <cell r="H71">
            <v>0.55199999999999994</v>
          </cell>
        </row>
        <row r="72">
          <cell r="B72" t="str">
            <v>TMP6000NI405</v>
          </cell>
          <cell r="C72" t="str">
            <v>PP6000S SPEAKER</v>
          </cell>
          <cell r="D72" t="str">
            <v>도시바</v>
          </cell>
          <cell r="E72" t="str">
            <v>15"</v>
          </cell>
          <cell r="F72">
            <v>0.29599999999999999</v>
          </cell>
          <cell r="G72">
            <v>0.08</v>
          </cell>
          <cell r="H72">
            <v>0.376</v>
          </cell>
        </row>
        <row r="73">
          <cell r="B73" t="str">
            <v>TMP6000NI406</v>
          </cell>
          <cell r="C73" t="str">
            <v>PP6000S BLACK</v>
          </cell>
          <cell r="D73" t="str">
            <v>도시바</v>
          </cell>
          <cell r="E73" t="str">
            <v>15"</v>
          </cell>
          <cell r="F73">
            <v>0.29599999999999999</v>
          </cell>
          <cell r="G73">
            <v>0.08</v>
          </cell>
          <cell r="H73">
            <v>0.376</v>
          </cell>
        </row>
        <row r="74">
          <cell r="B74" t="str">
            <v>TMP6150NI401</v>
          </cell>
          <cell r="C74" t="str">
            <v xml:space="preserve">T6150F 이마트에브리데이(고객용) </v>
          </cell>
          <cell r="D74" t="str">
            <v>도시바</v>
          </cell>
          <cell r="E74" t="str">
            <v>15"</v>
          </cell>
          <cell r="F74">
            <v>0.48</v>
          </cell>
          <cell r="G74">
            <v>0.15</v>
          </cell>
          <cell r="H74">
            <v>0.63</v>
          </cell>
        </row>
        <row r="75">
          <cell r="B75" t="str">
            <v>TMP6150NI402</v>
          </cell>
          <cell r="C75" t="str">
            <v>T6150F 이마트에브리데이(점원용)</v>
          </cell>
          <cell r="D75" t="str">
            <v>도시바</v>
          </cell>
          <cell r="E75" t="str">
            <v>15"</v>
          </cell>
          <cell r="F75">
            <v>0.48</v>
          </cell>
          <cell r="G75">
            <v>0.15</v>
          </cell>
          <cell r="H75">
            <v>0.63</v>
          </cell>
        </row>
        <row r="76">
          <cell r="B76" t="str">
            <v>TMP6150NI403</v>
          </cell>
          <cell r="C76" t="str">
            <v>T6150F BEIGE (신세계)</v>
          </cell>
          <cell r="D76" t="str">
            <v>도시바</v>
          </cell>
          <cell r="E76" t="str">
            <v>15"</v>
          </cell>
          <cell r="F76">
            <v>0.48799999999999999</v>
          </cell>
          <cell r="G76">
            <v>0.08</v>
          </cell>
          <cell r="H76">
            <v>0.56799999999999995</v>
          </cell>
        </row>
        <row r="77">
          <cell r="B77" t="str">
            <v>TMP6150NI404</v>
          </cell>
          <cell r="C77" t="str">
            <v>T6150F WHITE(본체)</v>
          </cell>
          <cell r="D77" t="str">
            <v>도시바</v>
          </cell>
          <cell r="E77" t="str">
            <v>15"</v>
          </cell>
          <cell r="F77">
            <v>0.72</v>
          </cell>
          <cell r="G77">
            <v>0.08</v>
          </cell>
          <cell r="H77">
            <v>0.79999999999999993</v>
          </cell>
        </row>
        <row r="78">
          <cell r="B78" t="str">
            <v>TMP6150NI405</v>
          </cell>
          <cell r="C78" t="str">
            <v>T6150F BLACK(본체)</v>
          </cell>
          <cell r="D78" t="str">
            <v>도시바</v>
          </cell>
          <cell r="E78" t="str">
            <v>15"</v>
          </cell>
          <cell r="F78">
            <v>0.72</v>
          </cell>
          <cell r="G78">
            <v>0.08</v>
          </cell>
          <cell r="H78">
            <v>0.79999999999999993</v>
          </cell>
        </row>
        <row r="79">
          <cell r="B79" t="str">
            <v>TMS6150TI401</v>
          </cell>
          <cell r="C79" t="str">
            <v>T6150F BLACK 미니스톱</v>
          </cell>
          <cell r="D79" t="str">
            <v>도시바</v>
          </cell>
          <cell r="E79" t="str">
            <v>15"</v>
          </cell>
          <cell r="F79">
            <v>0.48</v>
          </cell>
          <cell r="G79">
            <v>0.15</v>
          </cell>
          <cell r="H79">
            <v>0.63</v>
          </cell>
        </row>
        <row r="80">
          <cell r="B80" t="str">
            <v>SMS6150001</v>
          </cell>
          <cell r="C80" t="str">
            <v>STAND ASSY(도시바 일괄점원용)</v>
          </cell>
          <cell r="D80" t="str">
            <v>도시바</v>
          </cell>
          <cell r="F80">
            <v>9.6000000000000002E-2</v>
          </cell>
          <cell r="G80">
            <v>0.05</v>
          </cell>
          <cell r="H80">
            <v>0.14600000000000002</v>
          </cell>
        </row>
        <row r="81">
          <cell r="B81" t="str">
            <v>SMS6150002</v>
          </cell>
          <cell r="C81" t="str">
            <v>STAND ASSY(도시바 일괄고객용)</v>
          </cell>
          <cell r="D81" t="str">
            <v>도시바</v>
          </cell>
          <cell r="F81">
            <v>9.6000000000000002E-2</v>
          </cell>
          <cell r="G81">
            <v>0.05</v>
          </cell>
          <cell r="H81">
            <v>0.14600000000000002</v>
          </cell>
        </row>
        <row r="82">
          <cell r="B82" t="str">
            <v>SMS6T15017</v>
          </cell>
          <cell r="C82" t="str">
            <v>STAND ASSY 하나시스향 [BLACK]</v>
          </cell>
          <cell r="D82" t="str">
            <v>도시바</v>
          </cell>
          <cell r="F82">
            <v>9.6000000000000002E-2</v>
          </cell>
          <cell r="G82">
            <v>0.05</v>
          </cell>
          <cell r="H82">
            <v>0.14600000000000002</v>
          </cell>
        </row>
        <row r="83">
          <cell r="B83" t="str">
            <v>SMS6T15023</v>
          </cell>
          <cell r="C83" t="str">
            <v>STAND ASSY 하나시스향 [BEIGE]</v>
          </cell>
          <cell r="D83" t="str">
            <v>도시바</v>
          </cell>
          <cell r="F83">
            <v>9.6000000000000002E-2</v>
          </cell>
          <cell r="G83">
            <v>0.05</v>
          </cell>
          <cell r="H83">
            <v>0.14600000000000002</v>
          </cell>
        </row>
        <row r="84">
          <cell r="B84" t="str">
            <v>SMS6T15030</v>
          </cell>
          <cell r="C84" t="str">
            <v>DUAL STAND(BLACK)</v>
          </cell>
          <cell r="D84" t="str">
            <v>기타</v>
          </cell>
          <cell r="F84">
            <v>0.10400000000000001</v>
          </cell>
          <cell r="G84">
            <v>0.05</v>
          </cell>
          <cell r="H84">
            <v>0.15400000000000003</v>
          </cell>
        </row>
        <row r="85">
          <cell r="B85" t="str">
            <v>SMS6T15031</v>
          </cell>
          <cell r="C85" t="str">
            <v>DUAL STAND(WHITE)</v>
          </cell>
          <cell r="D85" t="str">
            <v>기타</v>
          </cell>
          <cell r="F85">
            <v>0.10400000000000001</v>
          </cell>
          <cell r="G85">
            <v>0.05</v>
          </cell>
          <cell r="H85">
            <v>0.15400000000000003</v>
          </cell>
        </row>
        <row r="86">
          <cell r="B86" t="str">
            <v>SMS6000001</v>
          </cell>
          <cell r="C86" t="str">
            <v>SILNGLE STAND(벨크로텍)</v>
          </cell>
          <cell r="D86" t="str">
            <v>벨크로텍</v>
          </cell>
          <cell r="F86">
            <v>0</v>
          </cell>
        </row>
        <row r="87">
          <cell r="B87" t="str">
            <v>TMP6151TI001</v>
          </cell>
          <cell r="C87" t="str">
            <v>BRP6151S 스마트향[BEIGE] CM</v>
          </cell>
          <cell r="D87" t="str">
            <v>스마트캐스트</v>
          </cell>
          <cell r="E87" t="str">
            <v>15"</v>
          </cell>
          <cell r="F87">
            <v>0.48</v>
          </cell>
          <cell r="G87">
            <v>0.08</v>
          </cell>
          <cell r="H87">
            <v>0.55999999999999994</v>
          </cell>
        </row>
        <row r="88">
          <cell r="B88" t="str">
            <v>TMP6151TI002</v>
          </cell>
          <cell r="C88" t="str">
            <v>BRP6151S 스마트향[BEIGE] [변경] PI3 B</v>
          </cell>
          <cell r="D88" t="str">
            <v>스마트캐스트</v>
          </cell>
          <cell r="E88" t="str">
            <v>15"</v>
          </cell>
          <cell r="F88">
            <v>0.48</v>
          </cell>
          <cell r="G88">
            <v>0.08</v>
          </cell>
          <cell r="H88">
            <v>0.55999999999999994</v>
          </cell>
        </row>
        <row r="89">
          <cell r="B89" t="str">
            <v>TMP6170TI403</v>
          </cell>
          <cell r="C89" t="str">
            <v>BRP6170 스마트향 [BLACK] CM</v>
          </cell>
          <cell r="D89" t="str">
            <v>스마트캐스트</v>
          </cell>
          <cell r="E89" t="str">
            <v>17"</v>
          </cell>
          <cell r="F89">
            <v>0.48</v>
          </cell>
          <cell r="G89">
            <v>0.08</v>
          </cell>
          <cell r="H89">
            <v>0.55999999999999994</v>
          </cell>
        </row>
        <row r="90">
          <cell r="B90" t="str">
            <v>TMP6220001</v>
          </cell>
          <cell r="C90" t="str">
            <v>BRP6220 스마트[BLACK]</v>
          </cell>
          <cell r="D90" t="str">
            <v>스마트캐스트</v>
          </cell>
          <cell r="E90" t="str">
            <v>22"</v>
          </cell>
          <cell r="F90">
            <v>0</v>
          </cell>
          <cell r="H90">
            <v>0</v>
          </cell>
        </row>
        <row r="91">
          <cell r="B91" t="str">
            <v>TMP6097TI002</v>
          </cell>
          <cell r="C91" t="str">
            <v>BRP6097S</v>
          </cell>
          <cell r="D91" t="str">
            <v>스마트캐스트</v>
          </cell>
          <cell r="E91" t="str">
            <v>9.7"</v>
          </cell>
          <cell r="F91">
            <v>0.4</v>
          </cell>
          <cell r="G91">
            <v>0.08</v>
          </cell>
          <cell r="H91">
            <v>0.48000000000000004</v>
          </cell>
        </row>
        <row r="92">
          <cell r="B92" t="str">
            <v>TMP6000NI502</v>
          </cell>
          <cell r="C92" t="str">
            <v>PP6000 시스네트향</v>
          </cell>
          <cell r="D92" t="str">
            <v>시스네트</v>
          </cell>
          <cell r="E92" t="str">
            <v>15"</v>
          </cell>
          <cell r="F92">
            <v>0.29599999999999999</v>
          </cell>
          <cell r="G92">
            <v>0.08</v>
          </cell>
          <cell r="H92">
            <v>0.376</v>
          </cell>
        </row>
        <row r="93">
          <cell r="B93" t="str">
            <v>TMP6000TI503</v>
          </cell>
          <cell r="C93" t="str">
            <v>PP6000 BLACK NON MSR</v>
          </cell>
          <cell r="D93" t="str">
            <v>시스네트</v>
          </cell>
          <cell r="E93" t="str">
            <v>15"</v>
          </cell>
          <cell r="F93">
            <v>0.29599999999999999</v>
          </cell>
          <cell r="G93">
            <v>0.08</v>
          </cell>
          <cell r="H93">
            <v>0.376</v>
          </cell>
        </row>
        <row r="94">
          <cell r="B94" t="str">
            <v>TMP6000NI401</v>
          </cell>
          <cell r="C94" t="str">
            <v>SST6000L</v>
          </cell>
          <cell r="D94" t="str">
            <v>씨피통상</v>
          </cell>
          <cell r="E94" t="str">
            <v>15"</v>
          </cell>
          <cell r="F94">
            <v>0.32</v>
          </cell>
          <cell r="G94">
            <v>0.05</v>
          </cell>
          <cell r="H94">
            <v>0.35520000000000002</v>
          </cell>
        </row>
        <row r="95">
          <cell r="B95" t="str">
            <v>TMP6000NI402</v>
          </cell>
          <cell r="C95" t="str">
            <v>SST6000LP</v>
          </cell>
          <cell r="D95" t="str">
            <v>씨피통상</v>
          </cell>
          <cell r="E95" t="str">
            <v>15"</v>
          </cell>
          <cell r="F95">
            <v>0.32</v>
          </cell>
          <cell r="G95">
            <v>0.05</v>
          </cell>
          <cell r="H95">
            <v>0.35520000000000002</v>
          </cell>
        </row>
        <row r="96">
          <cell r="B96" t="str">
            <v>TMP6000NI403</v>
          </cell>
          <cell r="C96" t="str">
            <v>SST6000LD</v>
          </cell>
          <cell r="D96" t="str">
            <v>씨피통상</v>
          </cell>
          <cell r="E96" t="str">
            <v>15"</v>
          </cell>
          <cell r="F96">
            <v>0.32</v>
          </cell>
          <cell r="G96">
            <v>0.05</v>
          </cell>
          <cell r="H96">
            <v>0.35520000000000002</v>
          </cell>
        </row>
        <row r="97">
          <cell r="B97" t="str">
            <v>TMP6170TI301</v>
          </cell>
          <cell r="C97" t="str">
            <v>SST7000-TR(5)</v>
          </cell>
          <cell r="D97" t="str">
            <v>씨피통상</v>
          </cell>
          <cell r="E97" t="str">
            <v>17"</v>
          </cell>
          <cell r="F97">
            <v>0.36</v>
          </cell>
          <cell r="G97">
            <v>0.05</v>
          </cell>
          <cell r="H97">
            <v>0.41</v>
          </cell>
        </row>
        <row r="98">
          <cell r="B98" t="str">
            <v>TMS6170TC103</v>
          </cell>
          <cell r="C98" t="str">
            <v>PP6170 DUAL BLACK</v>
          </cell>
          <cell r="D98" t="str">
            <v>아스템즈</v>
          </cell>
          <cell r="E98" t="str">
            <v>17"</v>
          </cell>
          <cell r="F98">
            <v>0.44800000000000006</v>
          </cell>
          <cell r="G98">
            <v>0.08</v>
          </cell>
          <cell r="H98">
            <v>0.52800000000000002</v>
          </cell>
        </row>
        <row r="99">
          <cell r="B99" t="str">
            <v>TMP6170NI101</v>
          </cell>
          <cell r="C99" t="str">
            <v>PP6170T NON MSR_TOUCH</v>
          </cell>
          <cell r="D99" t="str">
            <v>아이티빌리지</v>
          </cell>
          <cell r="E99" t="str">
            <v>17"</v>
          </cell>
          <cell r="F99">
            <v>0.44800000000000006</v>
          </cell>
          <cell r="G99">
            <v>0.08</v>
          </cell>
          <cell r="H99">
            <v>0.52800000000000002</v>
          </cell>
        </row>
        <row r="100">
          <cell r="B100" t="str">
            <v>TMP6170TI402</v>
          </cell>
          <cell r="C100" t="str">
            <v xml:space="preserve">PP6170T W/O MSR BLACK </v>
          </cell>
          <cell r="D100" t="str">
            <v>아이티빌리지</v>
          </cell>
          <cell r="E100" t="str">
            <v>17"</v>
          </cell>
          <cell r="F100">
            <v>0.48</v>
          </cell>
          <cell r="G100">
            <v>0.15</v>
          </cell>
          <cell r="H100">
            <v>0.63</v>
          </cell>
        </row>
        <row r="101">
          <cell r="B101" t="str">
            <v>TMO6100NI103</v>
          </cell>
          <cell r="C101" t="str">
            <v>PP6100NIS2C-A2</v>
          </cell>
          <cell r="D101" t="str">
            <v>알에스포</v>
          </cell>
          <cell r="E101" t="str">
            <v>10.4"</v>
          </cell>
          <cell r="F101">
            <v>0.21600000000000003</v>
          </cell>
          <cell r="G101">
            <v>0.18</v>
          </cell>
          <cell r="H101">
            <v>0.39600000000000002</v>
          </cell>
        </row>
        <row r="102">
          <cell r="B102" t="str">
            <v>TMO6100NI108</v>
          </cell>
          <cell r="C102" t="str">
            <v>PP6100 BLACK D-SUB(다이소향)</v>
          </cell>
          <cell r="D102" t="str">
            <v>하나시스</v>
          </cell>
          <cell r="E102" t="str">
            <v>10.4"</v>
          </cell>
          <cell r="F102">
            <v>0.24</v>
          </cell>
          <cell r="G102">
            <v>0.08</v>
          </cell>
          <cell r="H102">
            <v>0.32</v>
          </cell>
        </row>
        <row r="103">
          <cell r="B103" t="str">
            <v>TMO6000TI401</v>
          </cell>
          <cell r="C103" t="str">
            <v>PP6000S BLACK SK향</v>
          </cell>
          <cell r="D103" t="str">
            <v>알에스포</v>
          </cell>
          <cell r="E103" t="str">
            <v>15"</v>
          </cell>
          <cell r="F103">
            <v>0.44800000000000006</v>
          </cell>
          <cell r="G103">
            <v>0.08</v>
          </cell>
          <cell r="H103">
            <v>0.52800000000000002</v>
          </cell>
        </row>
        <row r="104">
          <cell r="B104" t="str">
            <v>TMO6151NI004</v>
          </cell>
          <cell r="C104" t="str">
            <v>PP6151F 알에스포향</v>
          </cell>
          <cell r="D104" t="str">
            <v>알에스포</v>
          </cell>
          <cell r="E104" t="str">
            <v>15"</v>
          </cell>
          <cell r="F104">
            <v>0.44800000000000006</v>
          </cell>
          <cell r="G104">
            <v>0.08</v>
          </cell>
          <cell r="H104">
            <v>0.52800000000000002</v>
          </cell>
        </row>
        <row r="105">
          <cell r="B105" t="str">
            <v>TMP6000NI407</v>
          </cell>
          <cell r="C105" t="str">
            <v>PP6000S SINGLE 홈플러스향</v>
          </cell>
          <cell r="D105" t="str">
            <v>하나시스</v>
          </cell>
          <cell r="E105" t="str">
            <v>15"</v>
          </cell>
          <cell r="F105">
            <v>0.29599999999999999</v>
          </cell>
          <cell r="G105">
            <v>0.08</v>
          </cell>
          <cell r="H105">
            <v>0.376</v>
          </cell>
        </row>
        <row r="106">
          <cell r="B106" t="str">
            <v>TMP6000NI408</v>
          </cell>
          <cell r="C106" t="str">
            <v>PP6000S 하나향(DP 3m)</v>
          </cell>
          <cell r="D106" t="str">
            <v>하나시스</v>
          </cell>
          <cell r="E106" t="str">
            <v>15"</v>
          </cell>
          <cell r="F106">
            <v>0.29599999999999999</v>
          </cell>
          <cell r="G106">
            <v>0.08</v>
          </cell>
          <cell r="H106">
            <v>0.376</v>
          </cell>
        </row>
        <row r="107">
          <cell r="B107" t="str">
            <v>TMP6000NI512</v>
          </cell>
          <cell r="C107" t="str">
            <v>PP6000 AG 서원유통향</v>
          </cell>
          <cell r="D107" t="str">
            <v>알에스포</v>
          </cell>
          <cell r="E107" t="str">
            <v>15"</v>
          </cell>
          <cell r="F107">
            <v>0.29599999999999999</v>
          </cell>
          <cell r="G107">
            <v>0.08</v>
          </cell>
          <cell r="H107">
            <v>0.376</v>
          </cell>
        </row>
        <row r="108">
          <cell r="B108" t="str">
            <v>TMP6000NI513</v>
          </cell>
          <cell r="C108" t="str">
            <v>PP6000 BEIGE</v>
          </cell>
          <cell r="D108" t="str">
            <v>알에스포</v>
          </cell>
          <cell r="E108" t="str">
            <v>15"</v>
          </cell>
          <cell r="F108">
            <v>0.29599999999999999</v>
          </cell>
          <cell r="G108">
            <v>0.08</v>
          </cell>
          <cell r="H108">
            <v>0.376</v>
          </cell>
        </row>
        <row r="109">
          <cell r="B109" t="str">
            <v>TMP6000TI507</v>
          </cell>
          <cell r="C109" t="str">
            <v>PP6000 BEIGE 도시바</v>
          </cell>
          <cell r="D109" t="str">
            <v>알에스포</v>
          </cell>
          <cell r="E109" t="str">
            <v>15"</v>
          </cell>
          <cell r="F109">
            <v>0.44800000000000006</v>
          </cell>
          <cell r="G109">
            <v>0.16</v>
          </cell>
          <cell r="H109">
            <v>0.6080000000000001</v>
          </cell>
        </row>
        <row r="110">
          <cell r="B110" t="str">
            <v>TMP6000TI513</v>
          </cell>
          <cell r="C110" t="str">
            <v xml:space="preserve">PP6000 BEIGE NON </v>
          </cell>
          <cell r="D110" t="str">
            <v>알에스포</v>
          </cell>
          <cell r="E110" t="str">
            <v>15"</v>
          </cell>
          <cell r="F110">
            <v>0.44800000000000006</v>
          </cell>
          <cell r="G110">
            <v>0.08</v>
          </cell>
          <cell r="H110">
            <v>0.52800000000000002</v>
          </cell>
        </row>
        <row r="111">
          <cell r="B111" t="str">
            <v>TMS6000NC502</v>
          </cell>
          <cell r="C111" t="str">
            <v>PP6000NCS1B-S0P8</v>
          </cell>
          <cell r="D111" t="str">
            <v>알에스포</v>
          </cell>
          <cell r="E111" t="str">
            <v>15"</v>
          </cell>
          <cell r="F111">
            <v>0.70399999999999996</v>
          </cell>
          <cell r="G111">
            <v>0.08</v>
          </cell>
          <cell r="H111">
            <v>0.78399999999999992</v>
          </cell>
        </row>
        <row r="112">
          <cell r="B112" t="str">
            <v>TMS6000NC503</v>
          </cell>
          <cell r="C112" t="str">
            <v>PP6000 DUAL BEIGE</v>
          </cell>
          <cell r="D112" t="str">
            <v>알에스포</v>
          </cell>
          <cell r="E112" t="str">
            <v>15"</v>
          </cell>
          <cell r="F112">
            <v>0.44800000000000006</v>
          </cell>
          <cell r="G112">
            <v>0.08</v>
          </cell>
          <cell r="H112">
            <v>0.52800000000000002</v>
          </cell>
        </row>
        <row r="113">
          <cell r="B113" t="str">
            <v>TMS6000NI401</v>
          </cell>
          <cell r="C113" t="str">
            <v>PP6000S DUAL 홈플러스향</v>
          </cell>
          <cell r="D113" t="str">
            <v>하나시스</v>
          </cell>
          <cell r="E113" t="str">
            <v>15"</v>
          </cell>
          <cell r="F113">
            <v>0.70399999999999996</v>
          </cell>
          <cell r="G113">
            <v>0.08</v>
          </cell>
          <cell r="H113">
            <v>0.78399999999999992</v>
          </cell>
        </row>
        <row r="114">
          <cell r="B114" t="str">
            <v>TMO6170TC106</v>
          </cell>
          <cell r="C114" t="str">
            <v>PP6170TC ALL BLAC</v>
          </cell>
          <cell r="D114" t="str">
            <v>알에스포</v>
          </cell>
          <cell r="E114" t="str">
            <v>17"</v>
          </cell>
          <cell r="F114">
            <v>0.44800000000000006</v>
          </cell>
          <cell r="G114">
            <v>0.08</v>
          </cell>
          <cell r="H114">
            <v>0.52800000000000002</v>
          </cell>
        </row>
        <row r="115">
          <cell r="B115" t="str">
            <v>TMO6170TC419</v>
          </cell>
          <cell r="C115" t="str">
            <v>PP6170TC BLACK SINGEL</v>
          </cell>
          <cell r="D115" t="str">
            <v>알에스포</v>
          </cell>
          <cell r="E115" t="str">
            <v>17"</v>
          </cell>
          <cell r="F115">
            <v>0.44800000000000006</v>
          </cell>
          <cell r="G115">
            <v>0.08</v>
          </cell>
          <cell r="H115">
            <v>0.52800000000000002</v>
          </cell>
        </row>
        <row r="116">
          <cell r="B116" t="str">
            <v>TMO6170TC422</v>
          </cell>
          <cell r="C116" t="str">
            <v xml:space="preserve">PP6170T W/O MSR BLACK </v>
          </cell>
          <cell r="D116" t="str">
            <v>알에스포</v>
          </cell>
          <cell r="E116" t="str">
            <v>17"</v>
          </cell>
          <cell r="F116">
            <v>0.44800000000000006</v>
          </cell>
          <cell r="G116">
            <v>0.08</v>
          </cell>
          <cell r="H116">
            <v>0.52800000000000002</v>
          </cell>
        </row>
        <row r="117">
          <cell r="B117" t="str">
            <v>TMO6170TI401</v>
          </cell>
          <cell r="C117" t="str">
            <v xml:space="preserve">PP6170T W/O MSR BLACK </v>
          </cell>
          <cell r="D117" t="str">
            <v>알에스포</v>
          </cell>
          <cell r="E117" t="str">
            <v>17"</v>
          </cell>
          <cell r="F117">
            <v>0.44800000000000006</v>
          </cell>
          <cell r="G117">
            <v>0.08</v>
          </cell>
          <cell r="H117">
            <v>0.52800000000000002</v>
          </cell>
        </row>
        <row r="118">
          <cell r="B118" t="str">
            <v>MX156</v>
          </cell>
          <cell r="C118" t="str">
            <v>MX156(맥스뷰)</v>
          </cell>
          <cell r="D118" t="str">
            <v>맥스뷰</v>
          </cell>
          <cell r="E118" t="str">
            <v>15"</v>
          </cell>
          <cell r="F118">
            <v>0.48</v>
          </cell>
          <cell r="G118">
            <v>0.12</v>
          </cell>
          <cell r="H118">
            <v>0.6</v>
          </cell>
        </row>
        <row r="119">
          <cell r="B119" t="str">
            <v>SMS6T15001</v>
          </cell>
          <cell r="C119" t="str">
            <v>BTC DUAL STAND[BLACK]</v>
          </cell>
          <cell r="D119" t="str">
            <v>알에스포</v>
          </cell>
          <cell r="F119">
            <v>0.12</v>
          </cell>
          <cell r="G119">
            <v>0.05</v>
          </cell>
          <cell r="H119">
            <v>0.16999999999999998</v>
          </cell>
        </row>
        <row r="120">
          <cell r="B120" t="str">
            <v>TMP6104TDAP</v>
          </cell>
          <cell r="C120" t="str">
            <v>A6104TDAP</v>
          </cell>
          <cell r="D120" t="str">
            <v>알피니언</v>
          </cell>
          <cell r="E120" t="str">
            <v>10.4"</v>
          </cell>
          <cell r="F120">
            <v>0.25600000000000001</v>
          </cell>
          <cell r="G120">
            <v>0.08</v>
          </cell>
          <cell r="H120">
            <v>0.33600000000000002</v>
          </cell>
        </row>
        <row r="121">
          <cell r="B121" t="str">
            <v>TMP6104TDAP_N1500</v>
          </cell>
          <cell r="C121" t="str">
            <v>N1500 104 TM ASSY_BTC</v>
          </cell>
          <cell r="D121" t="str">
            <v>알피니언</v>
          </cell>
          <cell r="E121" t="str">
            <v>10.4"</v>
          </cell>
          <cell r="F121">
            <v>0.32</v>
          </cell>
          <cell r="G121">
            <v>0.08</v>
          </cell>
          <cell r="H121">
            <v>0.4</v>
          </cell>
        </row>
        <row r="122">
          <cell r="B122" t="str">
            <v>TMP6104TDAP_VE</v>
          </cell>
          <cell r="C122" t="str">
            <v>ALPINION 10.4Inch</v>
          </cell>
          <cell r="D122" t="str">
            <v>알피니언</v>
          </cell>
          <cell r="E122" t="str">
            <v>10.4"</v>
          </cell>
          <cell r="F122">
            <v>0.32</v>
          </cell>
          <cell r="G122">
            <v>0.08</v>
          </cell>
          <cell r="H122">
            <v>0.4</v>
          </cell>
        </row>
        <row r="123">
          <cell r="B123" t="str">
            <v>TMP6104TDAP_VE_KM</v>
          </cell>
          <cell r="C123" t="str">
            <v>ALPINION KM</v>
          </cell>
          <cell r="D123" t="str">
            <v>알피니언</v>
          </cell>
          <cell r="E123" t="str">
            <v>10.4"</v>
          </cell>
          <cell r="F123">
            <v>0.36</v>
          </cell>
          <cell r="G123">
            <v>0.08</v>
          </cell>
          <cell r="H123">
            <v>0.44</v>
          </cell>
        </row>
        <row r="124">
          <cell r="B124" t="str">
            <v>TMO6170TC421</v>
          </cell>
          <cell r="C124" t="str">
            <v>PP6170 BLACK＆W</v>
          </cell>
          <cell r="D124" t="str">
            <v>크레시스</v>
          </cell>
          <cell r="E124" t="str">
            <v>17"</v>
          </cell>
          <cell r="F124">
            <v>0.44800000000000006</v>
          </cell>
          <cell r="G124">
            <v>0.08</v>
          </cell>
          <cell r="H124">
            <v>0.52800000000000002</v>
          </cell>
        </row>
        <row r="125">
          <cell r="B125" t="str">
            <v>TKO8150004</v>
          </cell>
          <cell r="C125" t="str">
            <v>SCOS8150 투게더스</v>
          </cell>
          <cell r="D125" t="str">
            <v>투게더비즈</v>
          </cell>
          <cell r="E125" t="str">
            <v>15"</v>
          </cell>
          <cell r="F125">
            <v>1.536</v>
          </cell>
          <cell r="G125">
            <v>0.16</v>
          </cell>
          <cell r="H125">
            <v>1.696</v>
          </cell>
        </row>
        <row r="126">
          <cell r="B126" t="str">
            <v>TMS6100NI101</v>
          </cell>
          <cell r="C126" t="str">
            <v>PP6100USB 인터내셔널향</v>
          </cell>
          <cell r="D126" t="str">
            <v>퓨처젠</v>
          </cell>
          <cell r="E126" t="str">
            <v>10.4"</v>
          </cell>
          <cell r="F126">
            <v>0.36</v>
          </cell>
          <cell r="G126">
            <v>0.1</v>
          </cell>
          <cell r="H126">
            <v>0.45999999999999996</v>
          </cell>
        </row>
        <row r="127">
          <cell r="B127" t="str">
            <v>TMP6097TI001</v>
          </cell>
          <cell r="C127" t="str">
            <v>PP6097 USB [TOUCH]</v>
          </cell>
          <cell r="D127" t="str">
            <v>퓨처젠</v>
          </cell>
          <cell r="E127" t="str">
            <v>9.7"</v>
          </cell>
          <cell r="F127">
            <v>0.24</v>
          </cell>
          <cell r="G127">
            <v>0.08</v>
          </cell>
          <cell r="H127">
            <v>0.32</v>
          </cell>
        </row>
        <row r="128">
          <cell r="B128" t="str">
            <v>TMO6000TI507</v>
          </cell>
          <cell r="C128" t="str">
            <v>PP6000T BLACK 하나시향</v>
          </cell>
          <cell r="D128" t="str">
            <v>하나시스</v>
          </cell>
          <cell r="E128" t="str">
            <v>15"</v>
          </cell>
          <cell r="F128">
            <v>0.44800000000000006</v>
          </cell>
          <cell r="G128">
            <v>0.08</v>
          </cell>
          <cell r="H128">
            <v>0.52800000000000002</v>
          </cell>
        </row>
        <row r="129">
          <cell r="B129" t="str">
            <v>TMP6000TI512</v>
          </cell>
          <cell r="C129" t="str">
            <v>PP6000T BLACK 하나시스향</v>
          </cell>
          <cell r="D129" t="str">
            <v>하나시스</v>
          </cell>
          <cell r="E129" t="str">
            <v>15"</v>
          </cell>
          <cell r="F129">
            <v>0.44800000000000006</v>
          </cell>
          <cell r="G129">
            <v>0.08</v>
          </cell>
          <cell r="H129">
            <v>0.52800000000000002</v>
          </cell>
        </row>
        <row r="130">
          <cell r="B130" t="str">
            <v>SMS6T15029</v>
          </cell>
          <cell r="C130" t="str">
            <v>BTC SECU SINGLE STAND</v>
          </cell>
          <cell r="D130" t="str">
            <v>하나시스</v>
          </cell>
          <cell r="F130">
            <v>9.6000000000000002E-2</v>
          </cell>
          <cell r="G130">
            <v>0.05</v>
          </cell>
          <cell r="H130">
            <v>0.14600000000000002</v>
          </cell>
        </row>
        <row r="131">
          <cell r="B131" t="str">
            <v>TKO8215001</v>
          </cell>
          <cell r="C131" t="str">
            <v xml:space="preserve">KIOSK8215 헬프데스크 </v>
          </cell>
          <cell r="D131" t="str">
            <v>헬프데스크</v>
          </cell>
          <cell r="E131" t="str">
            <v>21.5"</v>
          </cell>
          <cell r="F131">
            <v>2.2399999999999998</v>
          </cell>
          <cell r="G131">
            <v>0.2</v>
          </cell>
          <cell r="H131">
            <v>2.44</v>
          </cell>
        </row>
        <row r="132">
          <cell r="B132">
            <v>4803463702</v>
          </cell>
          <cell r="C132" t="str">
            <v>UPPER COVER ASS'Y S6104TU-LEO</v>
          </cell>
          <cell r="D132" t="str">
            <v>화남전자</v>
          </cell>
          <cell r="E132" t="str">
            <v>10.4"</v>
          </cell>
          <cell r="F132">
            <v>0.12</v>
          </cell>
          <cell r="G132">
            <v>0.08</v>
          </cell>
          <cell r="H132">
            <v>0.2</v>
          </cell>
        </row>
        <row r="133">
          <cell r="B133" t="str">
            <v>TMP6104TU002</v>
          </cell>
          <cell r="C133" t="str">
            <v>LEO TOUCH MONITOR FRU</v>
          </cell>
          <cell r="D133" t="str">
            <v>화남전자</v>
          </cell>
          <cell r="E133" t="str">
            <v>10.4"</v>
          </cell>
          <cell r="F133">
            <v>0.54</v>
          </cell>
          <cell r="G133">
            <v>0.08</v>
          </cell>
          <cell r="H133">
            <v>0.62</v>
          </cell>
        </row>
        <row r="134">
          <cell r="B134" t="str">
            <v>TMP6104TU005</v>
          </cell>
          <cell r="C134" t="str">
            <v>LEO2.0 MONITOR FRU</v>
          </cell>
          <cell r="D134" t="str">
            <v>화남전자</v>
          </cell>
          <cell r="E134" t="str">
            <v>10.4"</v>
          </cell>
          <cell r="F134">
            <v>0.54</v>
          </cell>
          <cell r="G134">
            <v>0.08</v>
          </cell>
          <cell r="H134">
            <v>0.62</v>
          </cell>
        </row>
        <row r="135">
          <cell r="B135" t="str">
            <v>TMP6104TULEO</v>
          </cell>
          <cell r="C135" t="str">
            <v>S6104TU</v>
          </cell>
          <cell r="D135" t="str">
            <v>화남전자</v>
          </cell>
          <cell r="E135" t="str">
            <v>10.4"</v>
          </cell>
          <cell r="F135">
            <v>0.378</v>
          </cell>
          <cell r="G135">
            <v>0.08</v>
          </cell>
          <cell r="H135">
            <v>0.45800000000000002</v>
          </cell>
        </row>
        <row r="136">
          <cell r="B136" t="str">
            <v>TMP6104TULEO2</v>
          </cell>
          <cell r="C136" t="str">
            <v>LEO2 (지멘스)10.4INCH</v>
          </cell>
          <cell r="D136" t="str">
            <v>화남전자</v>
          </cell>
          <cell r="E136" t="str">
            <v>10.4"</v>
          </cell>
          <cell r="F136">
            <v>0.54</v>
          </cell>
          <cell r="G136">
            <v>0.08</v>
          </cell>
          <cell r="H136">
            <v>0.62</v>
          </cell>
        </row>
        <row r="137">
          <cell r="B137" t="str">
            <v>TMP6133003</v>
          </cell>
          <cell r="C137" t="str">
            <v>S6133 GRIFFIN FRU PART</v>
          </cell>
          <cell r="D137" t="str">
            <v>화남전자</v>
          </cell>
          <cell r="E137" t="str">
            <v>13.3"</v>
          </cell>
          <cell r="F137">
            <v>0.315</v>
          </cell>
          <cell r="G137">
            <v>0.08</v>
          </cell>
          <cell r="H137">
            <v>0.39500000000000002</v>
          </cell>
        </row>
        <row r="138">
          <cell r="B138" t="str">
            <v>TMP6133001</v>
          </cell>
          <cell r="C138" t="str">
            <v>S6133 K2 지멘스 [13.3"]</v>
          </cell>
          <cell r="D138" t="str">
            <v>화남전자</v>
          </cell>
          <cell r="E138" t="str">
            <v>13.3"</v>
          </cell>
          <cell r="F138">
            <v>0.36</v>
          </cell>
          <cell r="G138">
            <v>0.08</v>
          </cell>
          <cell r="H138">
            <v>0.44</v>
          </cell>
        </row>
        <row r="139">
          <cell r="B139" t="str">
            <v>TMP6133002</v>
          </cell>
          <cell r="C139" t="str">
            <v>S6133 GRIFFIN [13.3"] [Junifer]</v>
          </cell>
          <cell r="D139" t="str">
            <v>화남전자</v>
          </cell>
          <cell r="E139" t="str">
            <v>13.3"</v>
          </cell>
          <cell r="F139">
            <v>0.36</v>
          </cell>
          <cell r="G139">
            <v>0.08</v>
          </cell>
          <cell r="H139">
            <v>0.44</v>
          </cell>
        </row>
        <row r="140">
          <cell r="B140" t="str">
            <v>TMP6133008</v>
          </cell>
          <cell r="C140" t="str">
            <v>S6133 K2 지멘스 FRU</v>
          </cell>
          <cell r="D140" t="str">
            <v>화남전자</v>
          </cell>
          <cell r="E140" t="str">
            <v>13.3"</v>
          </cell>
          <cell r="F140">
            <v>0.36</v>
          </cell>
          <cell r="G140">
            <v>0.08</v>
          </cell>
          <cell r="H140">
            <v>0.44</v>
          </cell>
        </row>
        <row r="141">
          <cell r="B141" t="str">
            <v>TMP6133004</v>
          </cell>
          <cell r="C141" t="str">
            <v>GRIFFIN FRU[AD BOARD ASSY]</v>
          </cell>
          <cell r="D141" t="str">
            <v>화남전자</v>
          </cell>
          <cell r="F141">
            <v>0</v>
          </cell>
        </row>
        <row r="142">
          <cell r="B142" t="str">
            <v>TMP6133005</v>
          </cell>
          <cell r="C142" t="str">
            <v>GRIFFIN [OSD BOARD ASSY]</v>
          </cell>
          <cell r="D142" t="str">
            <v>화남전자</v>
          </cell>
          <cell r="F142">
            <v>0</v>
          </cell>
        </row>
        <row r="143">
          <cell r="B143" t="str">
            <v>SPA6104001</v>
          </cell>
          <cell r="C143" t="str">
            <v>S6104TU-LEO PCB Rev.03(4303460200)</v>
          </cell>
          <cell r="D143" t="str">
            <v>화남전자</v>
          </cell>
          <cell r="F143">
            <v>0</v>
          </cell>
        </row>
        <row r="144">
          <cell r="B144" t="str">
            <v>TKO8150005</v>
          </cell>
          <cell r="C144" t="str">
            <v>SCOS8150 후지쯔</v>
          </cell>
          <cell r="D144" t="str">
            <v>후지쯔</v>
          </cell>
          <cell r="E144" t="str">
            <v>15"</v>
          </cell>
          <cell r="F144">
            <v>2.8</v>
          </cell>
          <cell r="G144">
            <v>0.17</v>
          </cell>
          <cell r="H144">
            <v>2.9699999999999998</v>
          </cell>
        </row>
        <row r="145">
          <cell r="B145" t="str">
            <v>TMO6151NI001</v>
          </cell>
          <cell r="C145" t="str">
            <v>PP6151F 후지쯔(섹션)</v>
          </cell>
          <cell r="D145" t="str">
            <v>후지쯔</v>
          </cell>
          <cell r="E145" t="str">
            <v>15"</v>
          </cell>
          <cell r="F145">
            <v>0.48</v>
          </cell>
          <cell r="G145">
            <v>0.15</v>
          </cell>
          <cell r="H145">
            <v>0.63</v>
          </cell>
        </row>
        <row r="146">
          <cell r="B146" t="str">
            <v>TMO6151TI001</v>
          </cell>
          <cell r="C146" t="str">
            <v>PP6151FTK 후지쯔(섹션)</v>
          </cell>
          <cell r="D146" t="str">
            <v>후지쯔</v>
          </cell>
          <cell r="E146" t="str">
            <v>15"</v>
          </cell>
          <cell r="F146">
            <v>0.48</v>
          </cell>
          <cell r="G146">
            <v>0.15</v>
          </cell>
          <cell r="H146">
            <v>0.63</v>
          </cell>
        </row>
        <row r="147">
          <cell r="B147" t="str">
            <v>TMS6000NI402</v>
          </cell>
          <cell r="C147" t="str">
            <v>PP6000S 다이소향</v>
          </cell>
          <cell r="D147" t="str">
            <v>후지쯔</v>
          </cell>
          <cell r="E147" t="str">
            <v>15"</v>
          </cell>
          <cell r="F147">
            <v>0.48799999999999999</v>
          </cell>
          <cell r="G147">
            <v>0.08</v>
          </cell>
          <cell r="H147">
            <v>0.56799999999999995</v>
          </cell>
        </row>
        <row r="148">
          <cell r="B148" t="str">
            <v>SMP6097001</v>
          </cell>
          <cell r="C148" t="str">
            <v>PP6097 BLACK 다이소향</v>
          </cell>
          <cell r="D148" t="str">
            <v>후지쯔</v>
          </cell>
          <cell r="E148" t="str">
            <v>9.7"</v>
          </cell>
          <cell r="F148">
            <v>0.32</v>
          </cell>
          <cell r="G148">
            <v>0.08</v>
          </cell>
          <cell r="H148">
            <v>0.4</v>
          </cell>
        </row>
        <row r="149">
          <cell r="B149" t="str">
            <v>TMS6097NI001</v>
          </cell>
          <cell r="C149" t="str">
            <v>PP6097 다이소 9.7"모니터+폴</v>
          </cell>
          <cell r="D149" t="str">
            <v>후지쯔</v>
          </cell>
          <cell r="E149" t="str">
            <v>9.7"</v>
          </cell>
          <cell r="F149">
            <v>0.32</v>
          </cell>
          <cell r="G149">
            <v>0.13</v>
          </cell>
          <cell r="H149">
            <v>0.45</v>
          </cell>
        </row>
        <row r="150">
          <cell r="B150" t="str">
            <v>SMS6097001</v>
          </cell>
          <cell r="C150" t="str">
            <v>DUAL STAND ASSY 다이소향</v>
          </cell>
          <cell r="D150" t="str">
            <v>후지쯔</v>
          </cell>
          <cell r="F150">
            <v>0.08</v>
          </cell>
          <cell r="G150">
            <v>0.05</v>
          </cell>
          <cell r="H150">
            <v>0.13</v>
          </cell>
        </row>
        <row r="151">
          <cell r="B151" t="str">
            <v>TMO6000TC512</v>
          </cell>
          <cell r="C151" t="str">
            <v>PP6000TCSB</v>
          </cell>
          <cell r="D151" t="str">
            <v>희테크</v>
          </cell>
          <cell r="E151" t="str">
            <v>15"</v>
          </cell>
          <cell r="F151">
            <v>0.44800000000000006</v>
          </cell>
          <cell r="G151">
            <v>0.08</v>
          </cell>
          <cell r="H151">
            <v>0.52800000000000002</v>
          </cell>
        </row>
        <row r="152">
          <cell r="B152" t="str">
            <v>TMP6000NC501</v>
          </cell>
          <cell r="C152" t="str">
            <v>PP6000NCB</v>
          </cell>
          <cell r="D152" t="str">
            <v>희테크</v>
          </cell>
          <cell r="E152" t="str">
            <v>15"</v>
          </cell>
          <cell r="F152">
            <v>0.32799999999999996</v>
          </cell>
          <cell r="G152">
            <v>0.08</v>
          </cell>
          <cell r="H152">
            <v>0.40799999999999997</v>
          </cell>
        </row>
        <row r="153">
          <cell r="B153" t="str">
            <v>TMP6100TI105</v>
          </cell>
          <cell r="C153" t="str">
            <v>PP6100NIB-F2</v>
          </cell>
          <cell r="D153" t="str">
            <v>희테크</v>
          </cell>
          <cell r="E153" t="str">
            <v>10.4"</v>
          </cell>
          <cell r="F153">
            <v>0.21600000000000003</v>
          </cell>
          <cell r="G153">
            <v>0.08</v>
          </cell>
          <cell r="H153">
            <v>0.29600000000000004</v>
          </cell>
        </row>
        <row r="154">
          <cell r="B154" t="str">
            <v>TMO6000TC124</v>
          </cell>
          <cell r="C154" t="str">
            <v>PP6000TC(15인치)</v>
          </cell>
          <cell r="D154" t="str">
            <v>알에스포</v>
          </cell>
          <cell r="E154" t="str">
            <v>15"</v>
          </cell>
          <cell r="F154">
            <v>0.44800000000000006</v>
          </cell>
          <cell r="G154">
            <v>0.16</v>
          </cell>
          <cell r="H154">
            <v>0.6080000000000001</v>
          </cell>
        </row>
        <row r="155">
          <cell r="B155" t="str">
            <v>TMP6000NI505</v>
          </cell>
          <cell r="C155" t="str">
            <v>PP6000 BLACK＆WHIT</v>
          </cell>
          <cell r="D155" t="str">
            <v>아스템즈</v>
          </cell>
          <cell r="E155" t="str">
            <v>15"</v>
          </cell>
          <cell r="F155">
            <v>0.29599999999999999</v>
          </cell>
          <cell r="G155">
            <v>0.08</v>
          </cell>
          <cell r="H155">
            <v>0.376</v>
          </cell>
        </row>
        <row r="156">
          <cell r="B156" t="str">
            <v>TMP6000TI504</v>
          </cell>
          <cell r="C156" t="str">
            <v>PP6000 BLACK＆W</v>
          </cell>
          <cell r="D156" t="str">
            <v>아스템즈</v>
          </cell>
          <cell r="E156" t="str">
            <v>15"</v>
          </cell>
          <cell r="F156">
            <v>0.44800000000000006</v>
          </cell>
          <cell r="G156">
            <v>0.08</v>
          </cell>
          <cell r="H156">
            <v>0.52800000000000002</v>
          </cell>
        </row>
        <row r="157">
          <cell r="B157" t="str">
            <v>TMS6000AC107</v>
          </cell>
          <cell r="C157" t="str">
            <v>PP6000T_WISE POS향</v>
          </cell>
          <cell r="D157" t="str">
            <v>알에스포</v>
          </cell>
          <cell r="E157" t="str">
            <v>15"</v>
          </cell>
          <cell r="F157">
            <v>0.44800000000000006</v>
          </cell>
          <cell r="G157">
            <v>0.16</v>
          </cell>
          <cell r="H157">
            <v>0.6080000000000001</v>
          </cell>
        </row>
        <row r="158">
          <cell r="B158" t="str">
            <v>TMS6000AC401</v>
          </cell>
          <cell r="C158" t="str">
            <v xml:space="preserve">PP6000TD 첼시4 </v>
          </cell>
          <cell r="D158" t="str">
            <v>알에스포</v>
          </cell>
          <cell r="E158" t="str">
            <v>15"</v>
          </cell>
          <cell r="F158">
            <v>0.44800000000000006</v>
          </cell>
          <cell r="G158">
            <v>0.16</v>
          </cell>
          <cell r="H158">
            <v>0.6080000000000001</v>
          </cell>
        </row>
        <row r="159">
          <cell r="B159" t="str">
            <v>SMS6T15016</v>
          </cell>
          <cell r="C159" t="str">
            <v>SINGLE STAND(첼시향)</v>
          </cell>
          <cell r="D159" t="str">
            <v>알에스포</v>
          </cell>
          <cell r="F159">
            <v>9.6000000000000002E-2</v>
          </cell>
          <cell r="G159">
            <v>0.05</v>
          </cell>
          <cell r="H159">
            <v>0.14600000000000002</v>
          </cell>
        </row>
        <row r="160">
          <cell r="B160" t="str">
            <v>SMS6T15028</v>
          </cell>
          <cell r="C160" t="str">
            <v>STAND ASSY 홈플러스향</v>
          </cell>
          <cell r="D160" t="str">
            <v>도시바</v>
          </cell>
          <cell r="F160">
            <v>9.6000000000000002E-2</v>
          </cell>
          <cell r="G160">
            <v>0.05</v>
          </cell>
          <cell r="H160">
            <v>0.14600000000000002</v>
          </cell>
        </row>
        <row r="161">
          <cell r="B161" t="str">
            <v>TMO6151TI003</v>
          </cell>
          <cell r="C161" t="str">
            <v>PP6151F BLACK 포지플렉스</v>
          </cell>
          <cell r="D161" t="str">
            <v>도시바</v>
          </cell>
          <cell r="E161" t="str">
            <v>15"</v>
          </cell>
          <cell r="F161">
            <v>0.47199999999999998</v>
          </cell>
          <cell r="G161">
            <v>0.08</v>
          </cell>
          <cell r="H161">
            <v>0.55199999999999994</v>
          </cell>
        </row>
        <row r="162">
          <cell r="B162">
            <v>3803462800</v>
          </cell>
          <cell r="C162" t="str">
            <v>CP REAR COVER,LEO</v>
          </cell>
          <cell r="D162" t="str">
            <v>화남전자</v>
          </cell>
          <cell r="F162">
            <v>0</v>
          </cell>
        </row>
        <row r="163">
          <cell r="B163" t="str">
            <v>TMP6170TI404</v>
          </cell>
          <cell r="C163" t="str">
            <v>BRP6170S 스마트향 [변경] PI3 B</v>
          </cell>
          <cell r="D163" t="str">
            <v>스마트캐스트</v>
          </cell>
          <cell r="E163" t="str">
            <v>17"</v>
          </cell>
          <cell r="F163">
            <v>0.48</v>
          </cell>
          <cell r="G163">
            <v>0.08</v>
          </cell>
          <cell r="H163">
            <v>0.55999999999999994</v>
          </cell>
        </row>
        <row r="164">
          <cell r="B164" t="str">
            <v>TMP6151NI001</v>
          </cell>
          <cell r="C164" t="str">
            <v>PP6151F 에버랜드향[블랙]</v>
          </cell>
          <cell r="D164" t="str">
            <v>퓨처젠</v>
          </cell>
          <cell r="E164" t="str">
            <v>15"</v>
          </cell>
          <cell r="F164">
            <v>0.32</v>
          </cell>
          <cell r="G164">
            <v>0.08</v>
          </cell>
          <cell r="H164">
            <v>0.4</v>
          </cell>
        </row>
        <row r="165">
          <cell r="B165" t="str">
            <v>TMP6151NI005</v>
          </cell>
          <cell r="C165" t="str">
            <v>PP6151F 에버랜드향[블랙]</v>
          </cell>
          <cell r="D165" t="str">
            <v>퓨처젠</v>
          </cell>
          <cell r="E165" t="str">
            <v>15"</v>
          </cell>
          <cell r="F165">
            <v>0.32</v>
          </cell>
          <cell r="G165">
            <v>0.08</v>
          </cell>
          <cell r="H165">
            <v>0.4</v>
          </cell>
        </row>
        <row r="166">
          <cell r="B166" t="str">
            <v>TMP1115TI405</v>
          </cell>
          <cell r="C166" t="str">
            <v>AM-1115 BLACK GS슈퍼향(신형 F/W)</v>
          </cell>
          <cell r="D166" t="str">
            <v>FEC</v>
          </cell>
          <cell r="E166" t="str">
            <v>15"</v>
          </cell>
          <cell r="F166">
            <v>0.48</v>
          </cell>
          <cell r="G166">
            <v>0.08</v>
          </cell>
          <cell r="H166">
            <v>0.53199999999999992</v>
          </cell>
        </row>
        <row r="167">
          <cell r="B167" t="str">
            <v>TMP1115NI412</v>
          </cell>
          <cell r="C167" t="str">
            <v>AM-1115 BLACK GS슈퍼향(신형 F/W)</v>
          </cell>
          <cell r="D167" t="str">
            <v>FEC</v>
          </cell>
          <cell r="E167" t="str">
            <v>15"</v>
          </cell>
          <cell r="F167">
            <v>0.48</v>
          </cell>
          <cell r="G167">
            <v>0.08</v>
          </cell>
          <cell r="H167">
            <v>0.53199999999999992</v>
          </cell>
        </row>
        <row r="168">
          <cell r="B168" t="str">
            <v>EMS6T15048</v>
          </cell>
          <cell r="C168" t="str">
            <v>AM1115 FEC향 SHORT POLE ASSY</v>
          </cell>
          <cell r="D168" t="str">
            <v>FEC</v>
          </cell>
        </row>
        <row r="169">
          <cell r="B169" t="str">
            <v>TMP6100NI113</v>
          </cell>
          <cell r="C169" t="str">
            <v>PP6100U BLACK(HP스탠드)</v>
          </cell>
          <cell r="D169" t="str">
            <v>퓨처젠</v>
          </cell>
          <cell r="E169" t="str">
            <v>10.4"</v>
          </cell>
          <cell r="F169">
            <v>0.24</v>
          </cell>
          <cell r="G169">
            <v>0.08</v>
          </cell>
          <cell r="H169">
            <v>0.32</v>
          </cell>
        </row>
        <row r="170">
          <cell r="B170" t="str">
            <v>TMO6151NI005</v>
          </cell>
          <cell r="C170" t="str">
            <v>PP6151 에버랜드 HP향 [BLACK]</v>
          </cell>
          <cell r="D170" t="str">
            <v>퓨처젠</v>
          </cell>
          <cell r="E170" t="str">
            <v>15"</v>
          </cell>
          <cell r="F170">
            <v>0.47199999999999998</v>
          </cell>
          <cell r="G170">
            <v>0.08</v>
          </cell>
          <cell r="H170">
            <v>0.55199999999999994</v>
          </cell>
        </row>
        <row r="171">
          <cell r="B171" t="str">
            <v>TMS6170TI101</v>
          </cell>
          <cell r="C171" t="str">
            <v>PP6170 BLACK DUAL(하나시스)</v>
          </cell>
          <cell r="D171" t="str">
            <v>하나시스</v>
          </cell>
          <cell r="E171" t="str">
            <v>17"</v>
          </cell>
          <cell r="F171">
            <v>0.70399999999999996</v>
          </cell>
          <cell r="G171">
            <v>0.08</v>
          </cell>
          <cell r="H171">
            <v>0.78399999999999992</v>
          </cell>
        </row>
        <row r="172">
          <cell r="B172" t="str">
            <v>TMP6097NI001</v>
          </cell>
          <cell r="C172" t="str">
            <v>PP6097 BLACK USB [12V, USB TYPE]</v>
          </cell>
          <cell r="D172" t="str">
            <v>도시바</v>
          </cell>
          <cell r="E172" t="str">
            <v>9.7"</v>
          </cell>
          <cell r="F172">
            <v>0.24</v>
          </cell>
          <cell r="G172">
            <v>0.08</v>
          </cell>
          <cell r="H172">
            <v>0.32</v>
          </cell>
        </row>
        <row r="173">
          <cell r="B173" t="str">
            <v>TMP6151NI003</v>
          </cell>
          <cell r="C173" t="str">
            <v>PP6151F 엘테크향(블랙)</v>
          </cell>
          <cell r="D173" t="str">
            <v>엘테크</v>
          </cell>
          <cell r="E173" t="str">
            <v>15"</v>
          </cell>
          <cell r="F173">
            <v>0.32</v>
          </cell>
          <cell r="G173">
            <v>0.08</v>
          </cell>
          <cell r="H173">
            <v>0.4</v>
          </cell>
        </row>
        <row r="174">
          <cell r="B174" t="str">
            <v>TMP6151TI003</v>
          </cell>
          <cell r="C174" t="str">
            <v>PP6151FTK 엘테크향(블랙)</v>
          </cell>
          <cell r="D174" t="str">
            <v>엘테크</v>
          </cell>
          <cell r="E174" t="str">
            <v>15"</v>
          </cell>
          <cell r="F174">
            <v>0.32</v>
          </cell>
          <cell r="G174">
            <v>0.08</v>
          </cell>
          <cell r="H174">
            <v>0.4</v>
          </cell>
        </row>
        <row r="175">
          <cell r="B175" t="str">
            <v>TMP7133001</v>
          </cell>
          <cell r="C175" t="str">
            <v>EPS7133 스타벅스 탁상用</v>
          </cell>
          <cell r="D175" t="str">
            <v>POS SYS</v>
          </cell>
          <cell r="E175" t="str">
            <v>13.3"</v>
          </cell>
          <cell r="F175">
            <v>0.7</v>
          </cell>
          <cell r="G175">
            <v>0.09</v>
          </cell>
          <cell r="H175">
            <v>0.72679999999999989</v>
          </cell>
        </row>
        <row r="176">
          <cell r="B176" t="str">
            <v>TMP7133002</v>
          </cell>
          <cell r="C176" t="str">
            <v>EPS7133 스타벅스 벽걸이用</v>
          </cell>
          <cell r="D176" t="str">
            <v>POS SYS</v>
          </cell>
          <cell r="E176" t="str">
            <v>13.3"</v>
          </cell>
          <cell r="F176">
            <v>0.7</v>
          </cell>
          <cell r="G176">
            <v>0.09</v>
          </cell>
          <cell r="H176">
            <v>0.72679999999999989</v>
          </cell>
        </row>
        <row r="177">
          <cell r="B177" t="str">
            <v>TMP7097001</v>
          </cell>
          <cell r="C177" t="str">
            <v>EPS7097 AK PLAZA BLACK</v>
          </cell>
          <cell r="D177" t="str">
            <v>POS SYS</v>
          </cell>
          <cell r="E177" t="str">
            <v>9.7"</v>
          </cell>
          <cell r="F177">
            <v>0.7</v>
          </cell>
          <cell r="G177">
            <v>0.09</v>
          </cell>
          <cell r="H177">
            <v>0.78999999999999992</v>
          </cell>
        </row>
        <row r="178">
          <cell r="B178" t="str">
            <v>TMP7097002</v>
          </cell>
          <cell r="C178" t="str">
            <v xml:space="preserve">EPS7097(SINGLE) BLACK </v>
          </cell>
          <cell r="D178" t="str">
            <v>POS SYS</v>
          </cell>
          <cell r="E178" t="str">
            <v>9.7"</v>
          </cell>
          <cell r="F178">
            <v>0.5</v>
          </cell>
          <cell r="G178">
            <v>0.09</v>
          </cell>
          <cell r="H178">
            <v>0.59</v>
          </cell>
        </row>
        <row r="179">
          <cell r="B179" t="str">
            <v>TMS7150001</v>
          </cell>
          <cell r="C179" t="str">
            <v>EPS7150 DUAL [ i5 7세대, 9.7" 스타필드향]</v>
          </cell>
          <cell r="D179" t="str">
            <v>POS SYS</v>
          </cell>
          <cell r="E179" t="str">
            <v>15"</v>
          </cell>
          <cell r="F179">
            <v>1.41</v>
          </cell>
          <cell r="G179">
            <v>0.2</v>
          </cell>
          <cell r="H179">
            <v>1.4811999999999999</v>
          </cell>
        </row>
        <row r="180">
          <cell r="B180" t="str">
            <v>TMS7150002</v>
          </cell>
          <cell r="C180" t="str">
            <v>EPS7150 DUAL [ i5 7세대, 9.7" WHITE]</v>
          </cell>
          <cell r="D180" t="str">
            <v>POS SYS</v>
          </cell>
          <cell r="E180" t="str">
            <v>15"</v>
          </cell>
          <cell r="F180">
            <v>1.41</v>
          </cell>
          <cell r="G180">
            <v>0.2</v>
          </cell>
          <cell r="H180">
            <v>1.4811999999999999</v>
          </cell>
        </row>
        <row r="181">
          <cell r="B181" t="str">
            <v>TMS7150003</v>
          </cell>
          <cell r="C181" t="str">
            <v>EPS7150 + PP207 [ i5 7세대, 9.7" 자연주의]</v>
          </cell>
          <cell r="D181" t="str">
            <v>POS SYS</v>
          </cell>
          <cell r="E181" t="str">
            <v>15"</v>
          </cell>
          <cell r="F181">
            <v>1.536</v>
          </cell>
          <cell r="G181">
            <v>0.16</v>
          </cell>
          <cell r="H181">
            <v>1.5603199999999999</v>
          </cell>
        </row>
        <row r="182">
          <cell r="B182" t="str">
            <v>TMS7150004</v>
          </cell>
          <cell r="C182" t="str">
            <v>EPS7150 DUAL [ i5 7세대, 9.7" 아쿠아필드향]</v>
          </cell>
          <cell r="D182" t="str">
            <v>POS SYS</v>
          </cell>
          <cell r="E182" t="str">
            <v>15"</v>
          </cell>
          <cell r="F182">
            <v>1.536</v>
          </cell>
          <cell r="G182">
            <v>0.16</v>
          </cell>
          <cell r="H182">
            <v>1.5603199999999999</v>
          </cell>
        </row>
        <row r="183">
          <cell r="B183" t="str">
            <v>TMS7150005</v>
          </cell>
          <cell r="C183" t="str">
            <v>EPS7150 DUAL [i3-11세대, 9.7", 이마트24]</v>
          </cell>
          <cell r="D183" t="str">
            <v>POS SYS</v>
          </cell>
          <cell r="E183" t="str">
            <v>15"</v>
          </cell>
          <cell r="F183">
            <v>1.41</v>
          </cell>
          <cell r="G183">
            <v>0.1</v>
          </cell>
          <cell r="H183">
            <v>1.3892</v>
          </cell>
        </row>
        <row r="184">
          <cell r="B184" t="str">
            <v>TMS7150006</v>
          </cell>
          <cell r="C184" t="str">
            <v>EPS7150 DUAL [ i5 7세대, 15" 슈마커향]</v>
          </cell>
          <cell r="D184" t="str">
            <v>POS SYS</v>
          </cell>
          <cell r="E184" t="str">
            <v>15"</v>
          </cell>
          <cell r="F184">
            <v>1.65</v>
          </cell>
          <cell r="G184">
            <v>0.1</v>
          </cell>
          <cell r="H184">
            <v>1.6099999999999999</v>
          </cell>
        </row>
        <row r="185">
          <cell r="B185" t="str">
            <v>TMS7150007</v>
          </cell>
          <cell r="C185" t="str">
            <v>EPS7150 DUAL [ i5 7세대, 9.7" 굿웰향 4G]</v>
          </cell>
          <cell r="D185" t="str">
            <v>POS SYS</v>
          </cell>
          <cell r="E185" t="str">
            <v>15"</v>
          </cell>
          <cell r="F185">
            <v>1.65</v>
          </cell>
          <cell r="G185">
            <v>0.1</v>
          </cell>
          <cell r="H185">
            <v>1.6099999999999999</v>
          </cell>
        </row>
        <row r="186">
          <cell r="B186" t="str">
            <v>TMS7150008</v>
          </cell>
          <cell r="C186" t="str">
            <v>EPS7150 DUAL [ i5 7세대, 9.7" 굿웰향 16G]</v>
          </cell>
          <cell r="D186" t="str">
            <v>POS SYS</v>
          </cell>
          <cell r="E186" t="str">
            <v>15"</v>
          </cell>
          <cell r="F186">
            <v>1.65</v>
          </cell>
          <cell r="G186">
            <v>0.1</v>
          </cell>
          <cell r="H186">
            <v>1.6099999999999999</v>
          </cell>
        </row>
        <row r="187">
          <cell r="B187" t="str">
            <v>TMO9150001</v>
          </cell>
          <cell r="C187" t="str">
            <v>T20C SINGLE [J6412 , BLACK]</v>
          </cell>
          <cell r="D187" t="str">
            <v>POS SYS</v>
          </cell>
          <cell r="E187" t="str">
            <v>15"</v>
          </cell>
          <cell r="F187">
            <v>1.18</v>
          </cell>
          <cell r="G187">
            <v>0.1</v>
          </cell>
          <cell r="H187">
            <v>1.1776</v>
          </cell>
        </row>
        <row r="188">
          <cell r="B188" t="str">
            <v>TMO9150002</v>
          </cell>
          <cell r="C188" t="str">
            <v>T20C SINGLE [J6412 , BLACK 수정]</v>
          </cell>
          <cell r="D188" t="str">
            <v>POS SYS</v>
          </cell>
          <cell r="E188" t="str">
            <v>15"</v>
          </cell>
          <cell r="F188">
            <v>1.18</v>
          </cell>
          <cell r="G188">
            <v>0.1</v>
          </cell>
          <cell r="H188">
            <v>1.1776</v>
          </cell>
        </row>
        <row r="189">
          <cell r="B189" t="str">
            <v>TMO9150003</v>
          </cell>
          <cell r="C189" t="str">
            <v>T20C SINGLE 메타씨티</v>
          </cell>
          <cell r="D189" t="str">
            <v>POS SYS</v>
          </cell>
          <cell r="E189" t="str">
            <v>15"</v>
          </cell>
          <cell r="F189">
            <v>1.18</v>
          </cell>
          <cell r="G189">
            <v>0.1</v>
          </cell>
          <cell r="H189">
            <v>1.1776</v>
          </cell>
        </row>
        <row r="190">
          <cell r="B190" t="str">
            <v>TMS9150004</v>
          </cell>
          <cell r="C190" t="str">
            <v>T20C DUAL [J6412 , 15", BACK 수정]</v>
          </cell>
          <cell r="D190" t="str">
            <v>POS SYS</v>
          </cell>
          <cell r="E190" t="str">
            <v>15"</v>
          </cell>
          <cell r="F190">
            <v>1.65</v>
          </cell>
          <cell r="G190">
            <v>0.1</v>
          </cell>
          <cell r="H190">
            <v>1.6099999999999999</v>
          </cell>
        </row>
        <row r="191">
          <cell r="B191" t="str">
            <v>TMS9150003</v>
          </cell>
          <cell r="C191" t="str">
            <v>T20C DUAL [J6412, 9.7", 이마트24]</v>
          </cell>
          <cell r="D191" t="str">
            <v>POS SYS</v>
          </cell>
          <cell r="E191" t="str">
            <v>15"</v>
          </cell>
          <cell r="F191">
            <v>1.65</v>
          </cell>
          <cell r="G191">
            <v>0.1</v>
          </cell>
          <cell r="H191">
            <v>1.6099999999999999</v>
          </cell>
        </row>
        <row r="192">
          <cell r="B192" t="str">
            <v>TMS9150005</v>
          </cell>
          <cell r="C192" t="str">
            <v>T20C DUAL [J6412, 9.7", BACK]</v>
          </cell>
          <cell r="D192" t="str">
            <v>POS SYS</v>
          </cell>
          <cell r="E192" t="str">
            <v>15"</v>
          </cell>
          <cell r="F192">
            <v>1.41</v>
          </cell>
          <cell r="G192">
            <v>0.2</v>
          </cell>
          <cell r="H192">
            <v>1.4811999999999999</v>
          </cell>
        </row>
        <row r="193">
          <cell r="B193" t="str">
            <v>TMP9150001</v>
          </cell>
          <cell r="C193" t="str">
            <v>T20C SINGLE ASSY(J6412, 단품)</v>
          </cell>
          <cell r="D193" t="str">
            <v>POS SYS</v>
          </cell>
          <cell r="E193" t="str">
            <v>15"</v>
          </cell>
          <cell r="F193">
            <v>0.98</v>
          </cell>
          <cell r="G193">
            <v>0.09</v>
          </cell>
          <cell r="H193">
            <v>0.98440000000000005</v>
          </cell>
        </row>
        <row r="194">
          <cell r="B194" t="str">
            <v>TMP6133009</v>
          </cell>
          <cell r="C194" t="str">
            <v>S6133-NT(NEW TREE)</v>
          </cell>
          <cell r="D194" t="str">
            <v>화남전자</v>
          </cell>
          <cell r="E194" t="str">
            <v>13.3"</v>
          </cell>
          <cell r="F194">
            <v>0.36</v>
          </cell>
          <cell r="G194">
            <v>0.08</v>
          </cell>
          <cell r="H194">
            <v>0.44</v>
          </cell>
        </row>
        <row r="195">
          <cell r="B195" t="str">
            <v>SMP6097003</v>
          </cell>
          <cell r="C195" t="str">
            <v>PP6097 EPS7150用(무인쇄,RGB)</v>
          </cell>
          <cell r="D195" t="str">
            <v>POS SYS</v>
          </cell>
          <cell r="E195" t="str">
            <v>9.7"</v>
          </cell>
          <cell r="F195">
            <v>0.24</v>
          </cell>
          <cell r="G195">
            <v>0.08</v>
          </cell>
          <cell r="H195">
            <v>0.32</v>
          </cell>
        </row>
        <row r="196">
          <cell r="B196" t="str">
            <v>TMS9150001</v>
          </cell>
          <cell r="C196" t="str">
            <v>T20C DUAL ASSY [J6412, DUAL 15", BLACK]</v>
          </cell>
        </row>
        <row r="197">
          <cell r="B197" t="str">
            <v>SMS6T15035</v>
          </cell>
          <cell r="C197" t="str">
            <v>STAND 하나시스향 [BLACK],후지쯔 Vasa</v>
          </cell>
          <cell r="D197" t="str">
            <v>도시바</v>
          </cell>
          <cell r="F197">
            <v>9.6000000000000002E-2</v>
          </cell>
          <cell r="G197">
            <v>0.05</v>
          </cell>
          <cell r="H197">
            <v>0.14600000000000002</v>
          </cell>
        </row>
        <row r="198">
          <cell r="B198" t="str">
            <v>SMS6T15034</v>
          </cell>
          <cell r="C198" t="str">
            <v>SLIM EDGE SINGLE STAND(BLACK)</v>
          </cell>
          <cell r="D198" t="str">
            <v>알에스포</v>
          </cell>
          <cell r="F198">
            <v>0.10400000000000001</v>
          </cell>
          <cell r="G198">
            <v>0.05</v>
          </cell>
          <cell r="H198">
            <v>0.15400000000000003</v>
          </cell>
        </row>
        <row r="199">
          <cell r="B199" t="str">
            <v>TMO6150TI405</v>
          </cell>
          <cell r="C199" t="str">
            <v>T6150F BLACK TOUCH 아모레향</v>
          </cell>
          <cell r="D199" t="str">
            <v>아스템즈</v>
          </cell>
          <cell r="E199" t="str">
            <v>15"</v>
          </cell>
          <cell r="F199">
            <v>0.8</v>
          </cell>
          <cell r="G199">
            <v>0.08</v>
          </cell>
          <cell r="H199">
            <v>0.88</v>
          </cell>
        </row>
        <row r="200">
          <cell r="B200" t="str">
            <v>TMO7150001</v>
          </cell>
          <cell r="C200" t="str">
            <v>EPS7150MK RSLINE SINGLE</v>
          </cell>
          <cell r="D200" t="str">
            <v>POS SYS</v>
          </cell>
          <cell r="E200" t="str">
            <v>15"</v>
          </cell>
          <cell r="F200">
            <v>1.18</v>
          </cell>
          <cell r="G200">
            <v>0.1</v>
          </cell>
          <cell r="H200">
            <v>1.28</v>
          </cell>
        </row>
        <row r="201">
          <cell r="B201" t="str">
            <v>SMP9150003</v>
          </cell>
          <cell r="C201" t="str">
            <v>T6150F 블랙 스피커무</v>
          </cell>
          <cell r="D201" t="str">
            <v>POS SYS</v>
          </cell>
          <cell r="E201" t="str">
            <v>15"</v>
          </cell>
          <cell r="F201">
            <v>0.48</v>
          </cell>
          <cell r="G201">
            <v>0.15</v>
          </cell>
          <cell r="H201">
            <v>0.63</v>
          </cell>
        </row>
        <row r="202">
          <cell r="B202" t="str">
            <v>TMP6150NI406</v>
          </cell>
          <cell r="C202" t="str">
            <v>T6150F 슈마커</v>
          </cell>
          <cell r="D202" t="str">
            <v>슈마커</v>
          </cell>
          <cell r="E202" t="str">
            <v>15"</v>
          </cell>
          <cell r="F202">
            <v>0.48</v>
          </cell>
          <cell r="G202">
            <v>0.15</v>
          </cell>
          <cell r="H202">
            <v>0.63</v>
          </cell>
        </row>
        <row r="203">
          <cell r="B203" t="str">
            <v>TMP6151NI004</v>
          </cell>
          <cell r="C203" t="str">
            <v>PP6151 JTO향 [BLACK+스피커]</v>
          </cell>
          <cell r="D203" t="str">
            <v>퓨처젠</v>
          </cell>
          <cell r="E203" t="str">
            <v>15"</v>
          </cell>
          <cell r="F203">
            <v>0.32</v>
          </cell>
          <cell r="G203">
            <v>0.08</v>
          </cell>
          <cell r="H203">
            <v>0.4</v>
          </cell>
        </row>
        <row r="204">
          <cell r="B204" t="str">
            <v>TMP6133010</v>
          </cell>
          <cell r="C204" t="str">
            <v>S6133-NT(NEWTREE) FRU [지멘스]</v>
          </cell>
          <cell r="D204" t="str">
            <v>화남전자</v>
          </cell>
          <cell r="E204" t="str">
            <v>13.3"</v>
          </cell>
          <cell r="F204">
            <v>0.36</v>
          </cell>
          <cell r="G204">
            <v>0.08</v>
          </cell>
          <cell r="H204">
            <v>0.44</v>
          </cell>
        </row>
        <row r="205">
          <cell r="B205" t="str">
            <v>TMP6133011</v>
          </cell>
          <cell r="C205" t="str">
            <v>S6133-NT [HUB BOARD] [4804260002]</v>
          </cell>
          <cell r="D205" t="str">
            <v>화남전자</v>
          </cell>
        </row>
        <row r="206">
          <cell r="B206" t="str">
            <v>TMP6133012</v>
          </cell>
          <cell r="C206" t="str">
            <v>S6133-NT [OSD BOARD] [4804260003]</v>
          </cell>
          <cell r="D206" t="str">
            <v>화남전자</v>
          </cell>
        </row>
        <row r="207">
          <cell r="B207" t="str">
            <v>TMP6133013</v>
          </cell>
          <cell r="C207" t="str">
            <v>S6133-NT [AD BOARD] [4804260004]</v>
          </cell>
          <cell r="D207" t="str">
            <v>화남전자</v>
          </cell>
        </row>
        <row r="208">
          <cell r="B208" t="str">
            <v>TMS9150006</v>
          </cell>
          <cell r="C208" t="str">
            <v>T20i DUAL [i3-11세대, 9.7", WHITE]</v>
          </cell>
          <cell r="D208" t="str">
            <v>POS SYS</v>
          </cell>
          <cell r="E208" t="str">
            <v>15"</v>
          </cell>
          <cell r="F208">
            <v>1.65</v>
          </cell>
          <cell r="G208">
            <v>0.1</v>
          </cell>
          <cell r="H208">
            <v>1.75</v>
          </cell>
        </row>
        <row r="209">
          <cell r="B209" t="str">
            <v>TMS7150009</v>
          </cell>
          <cell r="C209" t="str">
            <v>EPS7150 (i5-11세대) DUAL 스타필드향</v>
          </cell>
          <cell r="D209" t="str">
            <v>POS SYS</v>
          </cell>
          <cell r="E209" t="str">
            <v>15"</v>
          </cell>
          <cell r="F209">
            <v>1.65</v>
          </cell>
          <cell r="G209">
            <v>0.1</v>
          </cell>
          <cell r="H209">
            <v>1.75</v>
          </cell>
        </row>
        <row r="210">
          <cell r="B210" t="str">
            <v>TMS9150007</v>
          </cell>
          <cell r="C210" t="str">
            <v>T20C DUAL [J6412 , 15", BACK , KFC 8G]</v>
          </cell>
          <cell r="D210" t="str">
            <v>POS SYS</v>
          </cell>
          <cell r="E210" t="str">
            <v>15"</v>
          </cell>
          <cell r="F210">
            <v>1.65</v>
          </cell>
          <cell r="G210">
            <v>0.1</v>
          </cell>
          <cell r="H210">
            <v>1.75</v>
          </cell>
        </row>
        <row r="211">
          <cell r="B211" t="str">
            <v>TMP7097003</v>
          </cell>
          <cell r="C211" t="str">
            <v>EPS7097(ABC마트) BLACK [프린터]</v>
          </cell>
          <cell r="D211" t="str">
            <v>POS SYS</v>
          </cell>
          <cell r="E211" t="str">
            <v>9.7"</v>
          </cell>
          <cell r="F211">
            <v>0.7</v>
          </cell>
          <cell r="G211">
            <v>0.09</v>
          </cell>
          <cell r="H211">
            <v>0.78999999999999992</v>
          </cell>
        </row>
        <row r="212">
          <cell r="B212" t="str">
            <v>TMO7150003</v>
          </cell>
          <cell r="C212" t="str">
            <v>EPS7150-11G(i5) SINGLE[i5-11세대, 8GB]</v>
          </cell>
          <cell r="D212" t="str">
            <v>POS SYS</v>
          </cell>
          <cell r="E212" t="str">
            <v>15"</v>
          </cell>
          <cell r="F212">
            <v>1.18</v>
          </cell>
          <cell r="G212">
            <v>0.1</v>
          </cell>
          <cell r="H212">
            <v>1.28</v>
          </cell>
        </row>
        <row r="213">
          <cell r="B213" t="str">
            <v>TMP7097004</v>
          </cell>
          <cell r="C213" t="str">
            <v>EPS7097 DUAL BLACK</v>
          </cell>
          <cell r="D213" t="str">
            <v>POS SYS</v>
          </cell>
          <cell r="E213" t="str">
            <v>9.7"</v>
          </cell>
          <cell r="F213">
            <v>0.9</v>
          </cell>
          <cell r="G213">
            <v>0.09</v>
          </cell>
          <cell r="H213">
            <v>0.99</v>
          </cell>
        </row>
        <row r="214">
          <cell r="B214" t="str">
            <v>TMP7097005</v>
          </cell>
          <cell r="C214" t="str">
            <v>EPS7097 JOYTECH (해외향)[WHITE]</v>
          </cell>
          <cell r="D214" t="str">
            <v>POS SYS</v>
          </cell>
          <cell r="E214" t="str">
            <v>9.7"</v>
          </cell>
          <cell r="F214">
            <v>0.9</v>
          </cell>
          <cell r="G214">
            <v>0.09</v>
          </cell>
          <cell r="H214">
            <v>0.99</v>
          </cell>
        </row>
        <row r="215">
          <cell r="B215" t="str">
            <v>TMS7150010</v>
          </cell>
          <cell r="C215" t="str">
            <v>EPS7150 DUAL [i5 11세대 면세점]</v>
          </cell>
          <cell r="D215" t="str">
            <v>POS SYS</v>
          </cell>
          <cell r="E215" t="str">
            <v>15"</v>
          </cell>
          <cell r="F215">
            <v>1.65</v>
          </cell>
          <cell r="G215">
            <v>0.1</v>
          </cell>
          <cell r="H215">
            <v>1.75</v>
          </cell>
        </row>
        <row r="216">
          <cell r="B216" t="str">
            <v>TMS7150011</v>
          </cell>
          <cell r="C216" t="str">
            <v>EPS7150 DUAL [i5 11세대 프리미엄]</v>
          </cell>
          <cell r="D216" t="str">
            <v>POS SYS</v>
          </cell>
          <cell r="E216" t="str">
            <v>15"</v>
          </cell>
          <cell r="F216">
            <v>1.65</v>
          </cell>
          <cell r="G216">
            <v>0.1</v>
          </cell>
          <cell r="H216">
            <v>1.75</v>
          </cell>
        </row>
        <row r="217">
          <cell r="B217" t="str">
            <v>SPA6133008</v>
          </cell>
          <cell r="C217" t="str">
            <v>S6133 G [AD BOARD] [4803790037]</v>
          </cell>
        </row>
        <row r="218">
          <cell r="B218" t="str">
            <v>TMS7150012</v>
          </cell>
          <cell r="C218" t="str">
            <v>EPS7150 DUAL [i5 11세대 이마트몰]</v>
          </cell>
          <cell r="D218" t="str">
            <v>POS SYS</v>
          </cell>
          <cell r="E218" t="str">
            <v>15"</v>
          </cell>
          <cell r="F218">
            <v>1.65</v>
          </cell>
          <cell r="G218">
            <v>0.1</v>
          </cell>
          <cell r="H218">
            <v>1.75</v>
          </cell>
        </row>
        <row r="219">
          <cell r="B219" t="str">
            <v>TMS7150013</v>
          </cell>
          <cell r="C219" t="str">
            <v>EPS7150-11G(i5) DUAL ASSY[팜마트]</v>
          </cell>
          <cell r="D219" t="str">
            <v>POS SYS</v>
          </cell>
          <cell r="E219" t="str">
            <v>15"</v>
          </cell>
          <cell r="F219">
            <v>1.65</v>
          </cell>
          <cell r="G219">
            <v>0.1</v>
          </cell>
          <cell r="H219">
            <v>1.75</v>
          </cell>
        </row>
        <row r="220">
          <cell r="B220" t="str">
            <v>TMP7150001</v>
          </cell>
          <cell r="C220" t="str">
            <v>EPS7150 단품 [i5 7세대]</v>
          </cell>
        </row>
        <row r="221">
          <cell r="B221" t="str">
            <v>TMS9150008</v>
          </cell>
          <cell r="C221" t="str">
            <v>T20i (i3-12세대) DUAL ,PP211[이마트24]</v>
          </cell>
          <cell r="D221" t="str">
            <v>POS SYS</v>
          </cell>
          <cell r="E221" t="str">
            <v>15"</v>
          </cell>
          <cell r="F221">
            <v>1.65</v>
          </cell>
          <cell r="G221">
            <v>0.1</v>
          </cell>
          <cell r="H221">
            <v>1.75</v>
          </cell>
        </row>
        <row r="222">
          <cell r="B222" t="str">
            <v>TMS9150009</v>
          </cell>
          <cell r="C222" t="str">
            <v>T20i (i3-12세대) DUAL [이마트24]</v>
          </cell>
          <cell r="D222" t="str">
            <v>POS SYS</v>
          </cell>
          <cell r="E222" t="str">
            <v>15"</v>
          </cell>
          <cell r="F222">
            <v>1.65</v>
          </cell>
          <cell r="G222">
            <v>0.1</v>
          </cell>
          <cell r="H222">
            <v>1.75</v>
          </cell>
        </row>
        <row r="223">
          <cell r="B223" t="str">
            <v>TMO6151NI006</v>
          </cell>
          <cell r="C223" t="str">
            <v>PP6151F 에버랜드향 [BLACK]</v>
          </cell>
          <cell r="D223" t="str">
            <v>퓨처젠</v>
          </cell>
          <cell r="E223" t="str">
            <v>15"</v>
          </cell>
          <cell r="F223">
            <v>0.47199999999999998</v>
          </cell>
          <cell r="G223">
            <v>0.08</v>
          </cell>
          <cell r="H223">
            <v>0.55199999999999994</v>
          </cell>
        </row>
        <row r="224">
          <cell r="B224" t="str">
            <v>TMP6097NI101</v>
          </cell>
          <cell r="C224" t="str">
            <v>PP6097 BLACK RGB</v>
          </cell>
          <cell r="E224" t="str">
            <v>9.7"</v>
          </cell>
          <cell r="F224">
            <v>0.24</v>
          </cell>
          <cell r="G224">
            <v>0.08</v>
          </cell>
          <cell r="H224">
            <v>0.32</v>
          </cell>
        </row>
        <row r="225">
          <cell r="B225" t="str">
            <v>TMP6097TI001</v>
          </cell>
          <cell r="C225" t="str">
            <v>PP6097 BLACK USB [TOUCH]</v>
          </cell>
          <cell r="D225" t="str">
            <v>POS SYS</v>
          </cell>
          <cell r="E225" t="str">
            <v>9.7"</v>
          </cell>
          <cell r="F225">
            <v>0.7</v>
          </cell>
          <cell r="G225">
            <v>0.09</v>
          </cell>
          <cell r="H225">
            <v>0.78999999999999992</v>
          </cell>
        </row>
        <row r="226">
          <cell r="B226" t="str">
            <v>TMS7097001</v>
          </cell>
          <cell r="C226" t="str">
            <v>EPS7097 DUAL BLACK</v>
          </cell>
          <cell r="D226" t="str">
            <v>POS SYS</v>
          </cell>
          <cell r="E226" t="str">
            <v>9.7"</v>
          </cell>
          <cell r="F226">
            <v>0.9</v>
          </cell>
          <cell r="G226">
            <v>0.09</v>
          </cell>
          <cell r="H226">
            <v>0.99</v>
          </cell>
        </row>
        <row r="227">
          <cell r="B227" t="str">
            <v>TMS7097003</v>
          </cell>
          <cell r="C227" t="str">
            <v>EPS7097 DUAL TOUCH 해외향</v>
          </cell>
          <cell r="D227" t="str">
            <v>POS SYS</v>
          </cell>
          <cell r="E227" t="str">
            <v>9.7"</v>
          </cell>
          <cell r="F227">
            <v>0.9</v>
          </cell>
          <cell r="G227">
            <v>0.09</v>
          </cell>
          <cell r="H227">
            <v>0.99</v>
          </cell>
        </row>
        <row r="228">
          <cell r="B228" t="str">
            <v>TMP6150NI407</v>
          </cell>
          <cell r="C228" t="str">
            <v xml:space="preserve">T6150F 모니터단품 (일괄) </v>
          </cell>
          <cell r="D228" t="str">
            <v>도시바</v>
          </cell>
          <cell r="E228" t="str">
            <v>15"</v>
          </cell>
          <cell r="F228">
            <v>0.48</v>
          </cell>
          <cell r="G228">
            <v>0.15</v>
          </cell>
          <cell r="H228">
            <v>0.63</v>
          </cell>
        </row>
        <row r="229">
          <cell r="B229" t="str">
            <v>SMP6097005</v>
          </cell>
          <cell r="C229" t="str">
            <v>PP6097 TOUCH (EPS7097用) [BLACK]</v>
          </cell>
          <cell r="D229" t="str">
            <v>POS SYS</v>
          </cell>
          <cell r="E229" t="str">
            <v>9.7"</v>
          </cell>
          <cell r="F229">
            <v>0.7</v>
          </cell>
          <cell r="G229">
            <v>0.09</v>
          </cell>
          <cell r="H229">
            <v>0.78999999999999992</v>
          </cell>
        </row>
        <row r="230">
          <cell r="B230" t="str">
            <v>TMS7150015</v>
          </cell>
          <cell r="C230" t="str">
            <v>EPS7150-11G DUAL [WHITE, 15인치, RAM 16GB]</v>
          </cell>
          <cell r="D230" t="str">
            <v>POS SYS</v>
          </cell>
          <cell r="E230" t="str">
            <v>15"</v>
          </cell>
          <cell r="F230">
            <v>1.65</v>
          </cell>
          <cell r="G230">
            <v>0.1</v>
          </cell>
          <cell r="H230">
            <v>1.75</v>
          </cell>
        </row>
        <row r="231">
          <cell r="B231" t="str">
            <v>TMS9150010</v>
          </cell>
          <cell r="C231" t="str">
            <v>T20C DUAL[6412,15" Touch, RAM 8G]아라리오</v>
          </cell>
          <cell r="D231" t="str">
            <v>POS SYS</v>
          </cell>
          <cell r="E231" t="str">
            <v>15"</v>
          </cell>
          <cell r="F231">
            <v>1.65</v>
          </cell>
          <cell r="G231">
            <v>0.1</v>
          </cell>
          <cell r="H231">
            <v>1.75</v>
          </cell>
        </row>
        <row r="232">
          <cell r="B232" t="str">
            <v>TMP6121001</v>
          </cell>
          <cell r="C232" t="str">
            <v>AFFINITI 필립스 (Rev.03)</v>
          </cell>
          <cell r="D232" t="str">
            <v>화남전자</v>
          </cell>
          <cell r="E232" t="str">
            <v>13.3"</v>
          </cell>
          <cell r="F232">
            <v>0.36</v>
          </cell>
          <cell r="G232">
            <v>0.08</v>
          </cell>
          <cell r="H232">
            <v>0.44</v>
          </cell>
        </row>
        <row r="233">
          <cell r="B233" t="str">
            <v>TMS7097002</v>
          </cell>
          <cell r="C233" t="str">
            <v>EPS7097 DUAL WHITE</v>
          </cell>
          <cell r="D233" t="str">
            <v>POS SYS</v>
          </cell>
          <cell r="E233" t="str">
            <v>9.7"</v>
          </cell>
          <cell r="F233">
            <v>0.7</v>
          </cell>
          <cell r="G233">
            <v>0.09</v>
          </cell>
          <cell r="H233">
            <v>0.78999999999999992</v>
          </cell>
        </row>
        <row r="234">
          <cell r="B234" t="str">
            <v>TMO6150TI406</v>
          </cell>
          <cell r="C234" t="str">
            <v>T6150FT 도시바테크향 (신세계)</v>
          </cell>
          <cell r="D234" t="str">
            <v>도시바</v>
          </cell>
          <cell r="E234" t="str">
            <v>15"</v>
          </cell>
          <cell r="F234">
            <v>0.52</v>
          </cell>
          <cell r="G234">
            <v>0.15</v>
          </cell>
          <cell r="H234">
            <v>0.67</v>
          </cell>
        </row>
        <row r="235">
          <cell r="B235" t="str">
            <v>TMP6133016</v>
          </cell>
          <cell r="C235" t="str">
            <v>Griffin FRU[4853790001 Juniper 1.0] A/D변경품</v>
          </cell>
          <cell r="D235" t="str">
            <v>화남전자</v>
          </cell>
          <cell r="E235" t="str">
            <v>10.4"</v>
          </cell>
          <cell r="F235">
            <v>0.315</v>
          </cell>
          <cell r="G235">
            <v>0.08</v>
          </cell>
          <cell r="H235">
            <v>0.39500000000000002</v>
          </cell>
        </row>
        <row r="236">
          <cell r="B236" t="str">
            <v>TMS7150014</v>
          </cell>
          <cell r="C236" t="str">
            <v>CPS7150 BGF(CU향) POS</v>
          </cell>
          <cell r="D236" t="str">
            <v>도시바</v>
          </cell>
          <cell r="E236" t="str">
            <v>15"</v>
          </cell>
          <cell r="F236">
            <v>1.25</v>
          </cell>
          <cell r="G236">
            <v>0.4</v>
          </cell>
          <cell r="H236">
            <v>1.65</v>
          </cell>
        </row>
        <row r="237">
          <cell r="B237" t="str">
            <v>TMP7097006</v>
          </cell>
          <cell r="C237" t="str">
            <v>EPS7097 빅솔론 (국내향) [WHITE]</v>
          </cell>
          <cell r="D237" t="str">
            <v>도시바</v>
          </cell>
          <cell r="E237" t="str">
            <v>9.7"</v>
          </cell>
          <cell r="F237">
            <v>0.9</v>
          </cell>
          <cell r="G237">
            <v>0.09</v>
          </cell>
          <cell r="H237">
            <v>0.99</v>
          </cell>
        </row>
        <row r="238">
          <cell r="B238" t="str">
            <v>TMO9150004</v>
          </cell>
          <cell r="C238" t="str">
            <v>T20C SINGLE 아스템즈 [10A, Y케이블]</v>
          </cell>
          <cell r="D238" t="str">
            <v>아스템즈</v>
          </cell>
          <cell r="E238" t="str">
            <v>15"</v>
          </cell>
          <cell r="F238">
            <v>1.18</v>
          </cell>
          <cell r="G238">
            <v>0.1</v>
          </cell>
          <cell r="H238">
            <v>1.1776</v>
          </cell>
        </row>
        <row r="239">
          <cell r="B239" t="str">
            <v>TMO9150005</v>
          </cell>
          <cell r="C239" t="str">
            <v>T20C SINGLE 아스템즈 [5A, SSD256G]</v>
          </cell>
          <cell r="D239" t="str">
            <v>아스템즈</v>
          </cell>
          <cell r="E239" t="str">
            <v>15"</v>
          </cell>
          <cell r="F239">
            <v>1.18</v>
          </cell>
          <cell r="G239">
            <v>0.1</v>
          </cell>
          <cell r="H239">
            <v>1.1776</v>
          </cell>
        </row>
        <row r="240">
          <cell r="B240" t="str">
            <v>TMP6150NI408</v>
          </cell>
          <cell r="C240" t="str">
            <v>T6150F 아스템즈[블랙, RGB 1.5m]</v>
          </cell>
          <cell r="D240" t="str">
            <v>아스템즈</v>
          </cell>
          <cell r="E240" t="str">
            <v>15"</v>
          </cell>
          <cell r="F240">
            <v>0.48799999999999999</v>
          </cell>
          <cell r="G240">
            <v>0.08</v>
          </cell>
          <cell r="H240">
            <v>0.56799999999999995</v>
          </cell>
        </row>
        <row r="241">
          <cell r="B241" t="str">
            <v>TMO3115001</v>
          </cell>
          <cell r="C241" t="str">
            <v>XM-3115T FEC 15인치 [TOUCH]</v>
          </cell>
          <cell r="D241" t="str">
            <v>FEC</v>
          </cell>
          <cell r="E241" t="str">
            <v>15"</v>
          </cell>
          <cell r="F241">
            <v>0.48</v>
          </cell>
          <cell r="G241">
            <v>0.12</v>
          </cell>
          <cell r="H241">
            <v>0.56999999999999995</v>
          </cell>
        </row>
        <row r="242">
          <cell r="B242" t="str">
            <v>TMP6133014</v>
          </cell>
          <cell r="C242" t="str">
            <v>JUNIPER MCP [4303790001]</v>
          </cell>
          <cell r="D242" t="str">
            <v>화남전자</v>
          </cell>
          <cell r="E242" t="str">
            <v>13.3"</v>
          </cell>
          <cell r="F242">
            <v>0.4</v>
          </cell>
          <cell r="G242">
            <v>0.08</v>
          </cell>
          <cell r="H242">
            <v>0.48000000000000004</v>
          </cell>
        </row>
        <row r="243">
          <cell r="B243" t="str">
            <v>TMP6133015</v>
          </cell>
          <cell r="C243" t="str">
            <v>MAPLE MCP [4303790003]</v>
          </cell>
          <cell r="D243" t="str">
            <v>화남전자</v>
          </cell>
          <cell r="E243" t="str">
            <v>13.3"</v>
          </cell>
          <cell r="F243">
            <v>0.4</v>
          </cell>
          <cell r="G243">
            <v>0.08</v>
          </cell>
          <cell r="H243">
            <v>0.48000000000000004</v>
          </cell>
        </row>
        <row r="244">
          <cell r="B244" t="str">
            <v>TMS7150016</v>
          </cell>
          <cell r="C244" t="str">
            <v>EPS7150-11G(i5) DUAL RAM 16G 에버랜드</v>
          </cell>
          <cell r="D244" t="str">
            <v>POS SYS</v>
          </cell>
          <cell r="E244" t="str">
            <v>15"</v>
          </cell>
          <cell r="F244">
            <v>1.65</v>
          </cell>
          <cell r="G244">
            <v>0.1</v>
          </cell>
          <cell r="H244">
            <v>1.75</v>
          </cell>
        </row>
        <row r="245">
          <cell r="B245" t="str">
            <v>TMS7150017</v>
          </cell>
          <cell r="C245" t="str">
            <v>EPS7150-11G(i5) DUAL RAM 16G (무선랜 ×)</v>
          </cell>
          <cell r="D245" t="str">
            <v>POS SYS</v>
          </cell>
          <cell r="E245" t="str">
            <v>15"</v>
          </cell>
          <cell r="F245">
            <v>1.65</v>
          </cell>
          <cell r="G245">
            <v>0.1</v>
          </cell>
          <cell r="H245">
            <v>1.75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1040-BDA5-489D-8211-ECD1A0E8A901}">
  <sheetPr>
    <tabColor rgb="FFFF0000"/>
    <pageSetUpPr fitToPage="1"/>
  </sheetPr>
  <dimension ref="A1:EF47"/>
  <sheetViews>
    <sheetView showGridLines="0" showZeros="0" tabSelected="1" zoomScale="85" zoomScaleNormal="85" workbookViewId="0">
      <pane xSplit="2" ySplit="4" topLeftCell="J10" activePane="bottomRight" state="frozen"/>
      <selection activeCell="A4" sqref="A4"/>
      <selection pane="topRight" activeCell="M4" sqref="M4"/>
      <selection pane="bottomLeft" activeCell="A13" sqref="A13"/>
      <selection pane="bottomRight" activeCell="C22" sqref="C22"/>
    </sheetView>
  </sheetViews>
  <sheetFormatPr defaultColWidth="9" defaultRowHeight="16.5" x14ac:dyDescent="0.3"/>
  <cols>
    <col min="1" max="1" width="12.625" style="3" customWidth="1"/>
    <col min="2" max="2" width="8.25" style="3" bestFit="1" customWidth="1"/>
    <col min="3" max="3" width="30.75" style="3" customWidth="1"/>
    <col min="4" max="4" width="34.125" style="3" customWidth="1"/>
    <col min="5" max="5" width="33.375" style="3" customWidth="1"/>
    <col min="6" max="6" width="37.125" style="3" customWidth="1"/>
    <col min="7" max="8" width="0.25" style="3" customWidth="1"/>
    <col min="9" max="9" width="37.125" style="3" customWidth="1"/>
    <col min="10" max="13" width="33.375" style="3" bestFit="1" customWidth="1"/>
    <col min="14" max="15" width="0.25" style="3" customWidth="1"/>
    <col min="16" max="17" width="33.375" style="3" bestFit="1" customWidth="1"/>
    <col min="18" max="18" width="27.125" style="3" bestFit="1" customWidth="1"/>
    <col min="19" max="19" width="25.75" style="3" bestFit="1" customWidth="1"/>
    <col min="20" max="20" width="30.25" style="3" bestFit="1" customWidth="1"/>
    <col min="21" max="22" width="0.25" style="3" customWidth="1"/>
    <col min="23" max="23" width="28.125" style="3" bestFit="1" customWidth="1"/>
    <col min="24" max="25" width="20.625" style="3" bestFit="1" customWidth="1"/>
    <col min="26" max="26" width="27.375" style="3" bestFit="1" customWidth="1"/>
    <col min="27" max="27" width="20.625" style="3" bestFit="1" customWidth="1"/>
    <col min="28" max="29" width="0.25" style="3" customWidth="1"/>
    <col min="30" max="34" width="21" style="3" bestFit="1" customWidth="1"/>
    <col min="35" max="36" width="0.25" style="3" customWidth="1"/>
    <col min="37" max="37" width="9" style="3"/>
    <col min="38" max="38" width="0.25" style="3" customWidth="1"/>
    <col min="39" max="41" width="18.5" style="3" bestFit="1" customWidth="1"/>
    <col min="42" max="43" width="0.25" style="3" customWidth="1"/>
    <col min="44" max="46" width="9" style="3"/>
    <col min="47" max="47" width="18.5" style="3" bestFit="1" customWidth="1"/>
    <col min="48" max="48" width="9" style="3"/>
    <col min="49" max="50" width="0.25" style="3" customWidth="1"/>
    <col min="51" max="55" width="9" style="3"/>
    <col min="56" max="57" width="0.25" style="3" customWidth="1"/>
    <col min="58" max="16384" width="9" style="3"/>
  </cols>
  <sheetData>
    <row r="1" spans="1:136" ht="17.25" x14ac:dyDescent="0.3">
      <c r="A1" s="1" t="s">
        <v>0</v>
      </c>
      <c r="B1" s="2"/>
    </row>
    <row r="2" spans="1:136" ht="16.5" customHeight="1" thickBot="1" x14ac:dyDescent="0.35">
      <c r="A2" s="4">
        <f ca="1">TODAY()</f>
        <v>46120</v>
      </c>
      <c r="B2" s="5"/>
      <c r="D2" s="6" t="s">
        <v>1</v>
      </c>
      <c r="I2" s="7"/>
      <c r="L2" s="3" t="s">
        <v>2</v>
      </c>
      <c r="M2" s="3" t="s">
        <v>3</v>
      </c>
      <c r="P2" s="8" t="s">
        <v>4</v>
      </c>
    </row>
    <row r="3" spans="1:136" x14ac:dyDescent="0.3">
      <c r="A3" s="9" t="s">
        <v>5</v>
      </c>
      <c r="B3" s="9" t="s">
        <v>6</v>
      </c>
      <c r="C3" s="10">
        <v>46112</v>
      </c>
      <c r="D3" s="10">
        <v>46113</v>
      </c>
      <c r="E3" s="10">
        <v>46114</v>
      </c>
      <c r="F3" s="10">
        <v>46115</v>
      </c>
      <c r="G3" s="10">
        <v>46116</v>
      </c>
      <c r="H3" s="10">
        <v>46117</v>
      </c>
      <c r="I3" s="10">
        <v>46118</v>
      </c>
      <c r="J3" s="10">
        <v>46119</v>
      </c>
      <c r="K3" s="10">
        <v>46120</v>
      </c>
      <c r="L3" s="10">
        <v>46121</v>
      </c>
      <c r="M3" s="10">
        <v>46122</v>
      </c>
      <c r="N3" s="10">
        <v>46123</v>
      </c>
      <c r="O3" s="10">
        <v>46124</v>
      </c>
      <c r="P3" s="10">
        <v>46125</v>
      </c>
      <c r="Q3" s="10">
        <v>46126</v>
      </c>
      <c r="R3" s="10">
        <v>46127</v>
      </c>
      <c r="S3" s="10">
        <v>46128</v>
      </c>
      <c r="T3" s="10">
        <v>46129</v>
      </c>
      <c r="U3" s="10">
        <v>46130</v>
      </c>
      <c r="V3" s="10">
        <v>46131</v>
      </c>
      <c r="W3" s="10">
        <v>46132</v>
      </c>
      <c r="X3" s="10">
        <v>46133</v>
      </c>
      <c r="Y3" s="10">
        <v>46134</v>
      </c>
      <c r="Z3" s="10">
        <v>46135</v>
      </c>
      <c r="AA3" s="10">
        <v>46136</v>
      </c>
      <c r="AB3" s="10">
        <v>46137</v>
      </c>
      <c r="AC3" s="10">
        <v>46138</v>
      </c>
      <c r="AD3" s="10">
        <v>46139</v>
      </c>
      <c r="AE3" s="10">
        <v>46140</v>
      </c>
      <c r="AF3" s="10">
        <v>46141</v>
      </c>
      <c r="AG3" s="10">
        <v>46142</v>
      </c>
      <c r="AH3" s="10">
        <v>46143</v>
      </c>
      <c r="AI3" s="10">
        <v>46144</v>
      </c>
      <c r="AJ3" s="10">
        <v>46145</v>
      </c>
      <c r="AK3" s="10">
        <v>46146</v>
      </c>
      <c r="AL3" s="10">
        <v>46147</v>
      </c>
      <c r="AM3" s="10">
        <v>46148</v>
      </c>
      <c r="AN3" s="10">
        <v>46149</v>
      </c>
      <c r="AO3" s="10">
        <v>46150</v>
      </c>
      <c r="AP3" s="10">
        <v>46151</v>
      </c>
      <c r="AQ3" s="10">
        <v>46152</v>
      </c>
      <c r="AR3" s="10">
        <v>46153</v>
      </c>
      <c r="AS3" s="10">
        <v>46154</v>
      </c>
      <c r="AT3" s="10">
        <v>46155</v>
      </c>
      <c r="AU3" s="10">
        <v>46156</v>
      </c>
      <c r="AV3" s="10">
        <v>46157</v>
      </c>
      <c r="AW3" s="10">
        <v>46158</v>
      </c>
      <c r="AX3" s="10">
        <v>46159</v>
      </c>
      <c r="AY3" s="10">
        <v>46160</v>
      </c>
      <c r="AZ3" s="10">
        <v>46161</v>
      </c>
      <c r="BA3" s="10">
        <v>46162</v>
      </c>
      <c r="BB3" s="10">
        <v>46163</v>
      </c>
      <c r="BC3" s="10">
        <v>46164</v>
      </c>
      <c r="BD3" s="10">
        <v>46165</v>
      </c>
      <c r="BE3" s="10">
        <v>46166</v>
      </c>
      <c r="BF3" s="10">
        <v>46167</v>
      </c>
      <c r="BG3" s="10">
        <v>46168</v>
      </c>
      <c r="BH3" s="10">
        <v>46169</v>
      </c>
      <c r="BI3" s="10">
        <v>46170</v>
      </c>
      <c r="BJ3" s="10">
        <v>46171</v>
      </c>
      <c r="BK3" s="10">
        <v>46172</v>
      </c>
      <c r="BL3" s="10">
        <v>46173</v>
      </c>
      <c r="BM3" s="10">
        <v>46174</v>
      </c>
      <c r="BN3" s="10">
        <v>46175</v>
      </c>
      <c r="BO3" s="10">
        <v>46176</v>
      </c>
      <c r="BP3" s="10">
        <v>46177</v>
      </c>
      <c r="BQ3" s="10">
        <v>46178</v>
      </c>
      <c r="BR3" s="10">
        <v>46179</v>
      </c>
      <c r="BS3" s="10">
        <v>46180</v>
      </c>
      <c r="BT3" s="10">
        <v>46181</v>
      </c>
      <c r="BU3" s="10">
        <v>46182</v>
      </c>
      <c r="BV3" s="10">
        <v>46183</v>
      </c>
      <c r="BW3" s="10">
        <v>46184</v>
      </c>
      <c r="BX3" s="10">
        <v>46185</v>
      </c>
      <c r="BY3" s="10">
        <v>46186</v>
      </c>
      <c r="BZ3" s="10">
        <v>46187</v>
      </c>
      <c r="CA3" s="10">
        <v>46188</v>
      </c>
      <c r="CB3" s="10">
        <v>46189</v>
      </c>
      <c r="CC3" s="10">
        <v>46190</v>
      </c>
      <c r="CD3" s="10">
        <v>46191</v>
      </c>
      <c r="CE3" s="10">
        <v>46192</v>
      </c>
      <c r="CF3" s="10">
        <v>46193</v>
      </c>
      <c r="CG3" s="10">
        <v>46194</v>
      </c>
      <c r="CH3" s="10">
        <v>46195</v>
      </c>
      <c r="CI3" s="10">
        <v>46196</v>
      </c>
      <c r="CJ3" s="10">
        <v>46197</v>
      </c>
      <c r="CK3" s="10">
        <v>46198</v>
      </c>
      <c r="CL3" s="10">
        <v>46199</v>
      </c>
      <c r="CM3" s="10">
        <v>46200</v>
      </c>
      <c r="CN3" s="10">
        <v>46201</v>
      </c>
      <c r="CO3" s="10">
        <v>46202</v>
      </c>
      <c r="CP3" s="10">
        <v>46203</v>
      </c>
      <c r="CQ3" s="10">
        <v>46204</v>
      </c>
      <c r="CR3" s="10">
        <v>46205</v>
      </c>
      <c r="CS3" s="10">
        <v>46206</v>
      </c>
      <c r="CT3" s="10">
        <v>46207</v>
      </c>
      <c r="CU3" s="10">
        <v>46208</v>
      </c>
      <c r="CV3" s="10">
        <v>46209</v>
      </c>
      <c r="CW3" s="10">
        <v>46210</v>
      </c>
      <c r="CX3" s="10">
        <v>46211</v>
      </c>
      <c r="CY3" s="10">
        <v>46212</v>
      </c>
      <c r="CZ3" s="10">
        <v>46213</v>
      </c>
      <c r="DA3" s="10">
        <v>46214</v>
      </c>
      <c r="DB3" s="10">
        <v>46215</v>
      </c>
      <c r="DC3" s="10">
        <v>46216</v>
      </c>
      <c r="DD3" s="10">
        <v>46217</v>
      </c>
      <c r="DE3" s="10">
        <v>46218</v>
      </c>
      <c r="DF3" s="10">
        <v>46219</v>
      </c>
      <c r="DG3" s="10">
        <v>46220</v>
      </c>
      <c r="DH3" s="10">
        <v>46221</v>
      </c>
      <c r="DI3" s="10">
        <v>46222</v>
      </c>
      <c r="DJ3" s="10">
        <v>46223</v>
      </c>
      <c r="DK3" s="10">
        <v>46224</v>
      </c>
      <c r="DL3" s="10">
        <v>46225</v>
      </c>
      <c r="DM3" s="10">
        <v>46226</v>
      </c>
      <c r="DN3" s="10">
        <v>46227</v>
      </c>
      <c r="DO3" s="10">
        <v>46228</v>
      </c>
      <c r="DP3" s="10">
        <v>46229</v>
      </c>
      <c r="DQ3" s="10">
        <v>46230</v>
      </c>
      <c r="DR3" s="10">
        <v>46231</v>
      </c>
      <c r="DS3" s="10">
        <v>46232</v>
      </c>
      <c r="DT3" s="10">
        <v>46233</v>
      </c>
      <c r="DU3" s="10">
        <v>46234</v>
      </c>
      <c r="DV3" s="10">
        <v>46235</v>
      </c>
      <c r="DW3" s="10">
        <v>46236</v>
      </c>
      <c r="DX3" s="10">
        <v>46237</v>
      </c>
      <c r="DY3" s="10">
        <v>46238</v>
      </c>
      <c r="DZ3" s="10">
        <v>46239</v>
      </c>
      <c r="EA3" s="10">
        <v>46240</v>
      </c>
      <c r="EB3" s="10">
        <v>46241</v>
      </c>
      <c r="EC3" s="10">
        <v>46242</v>
      </c>
      <c r="ED3" s="10">
        <v>46243</v>
      </c>
      <c r="EE3" s="10">
        <v>46244</v>
      </c>
      <c r="EF3" s="10">
        <v>46245</v>
      </c>
    </row>
    <row r="4" spans="1:136" ht="17.25" thickBot="1" x14ac:dyDescent="0.35">
      <c r="A4" s="11"/>
      <c r="B4" s="11"/>
      <c r="C4" s="12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7</v>
      </c>
      <c r="R4" s="12" t="s">
        <v>8</v>
      </c>
      <c r="S4" s="12" t="s">
        <v>9</v>
      </c>
      <c r="T4" s="12" t="s">
        <v>10</v>
      </c>
      <c r="U4" s="12" t="s">
        <v>11</v>
      </c>
      <c r="V4" s="12" t="s">
        <v>12</v>
      </c>
      <c r="W4" s="12" t="s">
        <v>13</v>
      </c>
      <c r="X4" s="12" t="s">
        <v>7</v>
      </c>
      <c r="Y4" s="12" t="s">
        <v>8</v>
      </c>
      <c r="Z4" s="12" t="s">
        <v>9</v>
      </c>
      <c r="AA4" s="12" t="s">
        <v>10</v>
      </c>
      <c r="AB4" s="12" t="s">
        <v>11</v>
      </c>
      <c r="AC4" s="12" t="s">
        <v>12</v>
      </c>
      <c r="AD4" s="12" t="s">
        <v>13</v>
      </c>
      <c r="AE4" s="12" t="s">
        <v>7</v>
      </c>
      <c r="AF4" s="12" t="s">
        <v>8</v>
      </c>
      <c r="AG4" s="12" t="s">
        <v>9</v>
      </c>
      <c r="AH4" s="12" t="s">
        <v>10</v>
      </c>
      <c r="AI4" s="12" t="s">
        <v>11</v>
      </c>
      <c r="AJ4" s="12" t="s">
        <v>12</v>
      </c>
      <c r="AK4" s="12" t="s">
        <v>13</v>
      </c>
      <c r="AL4" s="12" t="s">
        <v>7</v>
      </c>
      <c r="AM4" s="12" t="s">
        <v>8</v>
      </c>
      <c r="AN4" s="12" t="s">
        <v>9</v>
      </c>
      <c r="AO4" s="12" t="s">
        <v>10</v>
      </c>
      <c r="AP4" s="12" t="s">
        <v>11</v>
      </c>
      <c r="AQ4" s="12" t="s">
        <v>12</v>
      </c>
      <c r="AR4" s="12" t="s">
        <v>13</v>
      </c>
      <c r="AS4" s="12" t="s">
        <v>7</v>
      </c>
      <c r="AT4" s="12" t="s">
        <v>8</v>
      </c>
      <c r="AU4" s="12" t="s">
        <v>9</v>
      </c>
      <c r="AV4" s="12" t="s">
        <v>10</v>
      </c>
      <c r="AW4" s="12" t="s">
        <v>11</v>
      </c>
      <c r="AX4" s="12" t="s">
        <v>12</v>
      </c>
      <c r="AY4" s="12" t="s">
        <v>13</v>
      </c>
      <c r="AZ4" s="12" t="s">
        <v>7</v>
      </c>
      <c r="BA4" s="12" t="s">
        <v>8</v>
      </c>
      <c r="BB4" s="12" t="s">
        <v>9</v>
      </c>
      <c r="BC4" s="12" t="s">
        <v>10</v>
      </c>
      <c r="BD4" s="12" t="s">
        <v>11</v>
      </c>
      <c r="BE4" s="12" t="s">
        <v>12</v>
      </c>
      <c r="BF4" s="12" t="s">
        <v>13</v>
      </c>
      <c r="BG4" s="12" t="s">
        <v>7</v>
      </c>
      <c r="BH4" s="12" t="s">
        <v>8</v>
      </c>
      <c r="BI4" s="12" t="s">
        <v>9</v>
      </c>
      <c r="BJ4" s="12" t="s">
        <v>10</v>
      </c>
      <c r="BK4" s="12" t="s">
        <v>11</v>
      </c>
      <c r="BL4" s="12" t="s">
        <v>12</v>
      </c>
      <c r="BM4" s="12" t="s">
        <v>13</v>
      </c>
      <c r="BN4" s="12" t="s">
        <v>7</v>
      </c>
      <c r="BO4" s="12" t="s">
        <v>8</v>
      </c>
      <c r="BP4" s="12" t="s">
        <v>9</v>
      </c>
      <c r="BQ4" s="12" t="s">
        <v>10</v>
      </c>
      <c r="BR4" s="12" t="s">
        <v>11</v>
      </c>
      <c r="BS4" s="12" t="s">
        <v>12</v>
      </c>
      <c r="BT4" s="12" t="s">
        <v>13</v>
      </c>
      <c r="BU4" s="12" t="s">
        <v>7</v>
      </c>
      <c r="BV4" s="12" t="s">
        <v>8</v>
      </c>
      <c r="BW4" s="12" t="s">
        <v>9</v>
      </c>
      <c r="BX4" s="12" t="s">
        <v>10</v>
      </c>
      <c r="BY4" s="12" t="s">
        <v>11</v>
      </c>
      <c r="BZ4" s="12" t="s">
        <v>12</v>
      </c>
      <c r="CA4" s="12" t="s">
        <v>13</v>
      </c>
      <c r="CB4" s="12" t="s">
        <v>7</v>
      </c>
      <c r="CC4" s="12" t="s">
        <v>8</v>
      </c>
      <c r="CD4" s="12" t="s">
        <v>9</v>
      </c>
      <c r="CE4" s="12" t="s">
        <v>10</v>
      </c>
      <c r="CF4" s="12" t="s">
        <v>11</v>
      </c>
      <c r="CG4" s="12" t="s">
        <v>12</v>
      </c>
      <c r="CH4" s="12" t="s">
        <v>13</v>
      </c>
      <c r="CI4" s="12" t="s">
        <v>7</v>
      </c>
      <c r="CJ4" s="12" t="s">
        <v>8</v>
      </c>
      <c r="CK4" s="12" t="s">
        <v>9</v>
      </c>
      <c r="CL4" s="12" t="s">
        <v>10</v>
      </c>
      <c r="CM4" s="12" t="s">
        <v>11</v>
      </c>
      <c r="CN4" s="12" t="s">
        <v>12</v>
      </c>
      <c r="CO4" s="12" t="s">
        <v>13</v>
      </c>
      <c r="CP4" s="12" t="s">
        <v>7</v>
      </c>
      <c r="CQ4" s="12" t="s">
        <v>8</v>
      </c>
      <c r="CR4" s="12" t="s">
        <v>9</v>
      </c>
      <c r="CS4" s="12" t="s">
        <v>10</v>
      </c>
      <c r="CT4" s="12" t="s">
        <v>11</v>
      </c>
      <c r="CU4" s="12" t="s">
        <v>12</v>
      </c>
      <c r="CV4" s="12" t="s">
        <v>13</v>
      </c>
      <c r="CW4" s="12" t="s">
        <v>7</v>
      </c>
      <c r="CX4" s="12" t="s">
        <v>8</v>
      </c>
      <c r="CY4" s="12" t="s">
        <v>9</v>
      </c>
      <c r="CZ4" s="12" t="s">
        <v>10</v>
      </c>
      <c r="DA4" s="12" t="s">
        <v>11</v>
      </c>
      <c r="DB4" s="12" t="s">
        <v>12</v>
      </c>
      <c r="DC4" s="12" t="s">
        <v>13</v>
      </c>
      <c r="DD4" s="12" t="s">
        <v>7</v>
      </c>
      <c r="DE4" s="12" t="s">
        <v>8</v>
      </c>
      <c r="DF4" s="12" t="s">
        <v>9</v>
      </c>
      <c r="DG4" s="12" t="s">
        <v>10</v>
      </c>
      <c r="DH4" s="12" t="s">
        <v>11</v>
      </c>
      <c r="DI4" s="12" t="s">
        <v>12</v>
      </c>
      <c r="DJ4" s="12" t="s">
        <v>13</v>
      </c>
      <c r="DK4" s="12" t="s">
        <v>7</v>
      </c>
      <c r="DL4" s="12" t="s">
        <v>8</v>
      </c>
      <c r="DM4" s="12" t="s">
        <v>9</v>
      </c>
      <c r="DN4" s="12" t="s">
        <v>10</v>
      </c>
      <c r="DO4" s="12" t="s">
        <v>11</v>
      </c>
      <c r="DP4" s="12" t="s">
        <v>12</v>
      </c>
      <c r="DQ4" s="12" t="s">
        <v>13</v>
      </c>
      <c r="DR4" s="12" t="s">
        <v>7</v>
      </c>
      <c r="DS4" s="12" t="s">
        <v>8</v>
      </c>
      <c r="DT4" s="12" t="s">
        <v>9</v>
      </c>
      <c r="DU4" s="12" t="s">
        <v>10</v>
      </c>
      <c r="DV4" s="12" t="s">
        <v>11</v>
      </c>
      <c r="DW4" s="12" t="s">
        <v>12</v>
      </c>
      <c r="DX4" s="12" t="s">
        <v>13</v>
      </c>
      <c r="DY4" s="12" t="s">
        <v>7</v>
      </c>
      <c r="DZ4" s="12" t="s">
        <v>8</v>
      </c>
      <c r="EA4" s="12" t="s">
        <v>9</v>
      </c>
      <c r="EB4" s="12" t="s">
        <v>10</v>
      </c>
      <c r="EC4" s="12" t="s">
        <v>11</v>
      </c>
      <c r="ED4" s="12" t="s">
        <v>12</v>
      </c>
      <c r="EE4" s="12" t="s">
        <v>13</v>
      </c>
      <c r="EF4" s="12" t="s">
        <v>7</v>
      </c>
    </row>
    <row r="5" spans="1:136" ht="20.25" customHeight="1" x14ac:dyDescent="0.3">
      <c r="A5" s="13" t="s">
        <v>14</v>
      </c>
      <c r="B5" s="14" t="s">
        <v>15</v>
      </c>
      <c r="C5" s="15" t="s">
        <v>16</v>
      </c>
      <c r="D5" s="16"/>
      <c r="E5" s="16"/>
      <c r="F5" s="17" t="s">
        <v>17</v>
      </c>
      <c r="G5" s="16"/>
      <c r="H5" s="16"/>
      <c r="I5" s="16"/>
      <c r="J5" s="16"/>
      <c r="K5" s="16"/>
      <c r="L5" s="18" t="s">
        <v>18</v>
      </c>
      <c r="M5" s="18" t="s">
        <v>18</v>
      </c>
      <c r="N5" s="16"/>
      <c r="O5" s="16"/>
      <c r="P5" s="19" t="s">
        <v>19</v>
      </c>
      <c r="Q5" s="19" t="s">
        <v>19</v>
      </c>
      <c r="R5" s="16"/>
      <c r="S5" s="15" t="s">
        <v>16</v>
      </c>
      <c r="T5" s="15" t="s">
        <v>16</v>
      </c>
      <c r="U5" s="16"/>
      <c r="V5" s="16"/>
      <c r="W5" s="19" t="s">
        <v>19</v>
      </c>
      <c r="X5" s="19" t="s">
        <v>19</v>
      </c>
      <c r="Y5" s="20" t="s">
        <v>20</v>
      </c>
      <c r="Z5" s="20" t="s">
        <v>20</v>
      </c>
      <c r="AA5" s="20" t="s">
        <v>20</v>
      </c>
      <c r="AB5" s="16"/>
      <c r="AC5" s="16"/>
      <c r="AD5" s="21" t="s">
        <v>21</v>
      </c>
      <c r="AE5" s="15" t="s">
        <v>16</v>
      </c>
      <c r="AF5" s="15" t="s">
        <v>16</v>
      </c>
      <c r="AG5" s="15" t="s">
        <v>16</v>
      </c>
      <c r="AH5" s="16" t="s">
        <v>22</v>
      </c>
      <c r="AI5" s="16"/>
      <c r="AJ5" s="16"/>
      <c r="AK5" s="16"/>
      <c r="AL5" s="16"/>
      <c r="AM5" s="15" t="s">
        <v>16</v>
      </c>
      <c r="AN5" s="15" t="s">
        <v>16</v>
      </c>
      <c r="AO5" s="15" t="s">
        <v>16</v>
      </c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</row>
    <row r="6" spans="1:136" ht="20.25" customHeight="1" x14ac:dyDescent="0.3">
      <c r="A6" s="22"/>
      <c r="B6" s="23" t="s">
        <v>23</v>
      </c>
      <c r="C6" s="24" t="str">
        <f>IFERROR(VLOOKUP(C5,'[1]M 기준정보'!$B$5:$C$49936,2,0),"")</f>
        <v>S6133-NT(NEW TREE)</v>
      </c>
      <c r="D6" s="24" t="str">
        <f>IFERROR(VLOOKUP(D5,'[1]M 기준정보'!$B$5:$C$49936,2,0),"")</f>
        <v/>
      </c>
      <c r="E6" s="24" t="str">
        <f>IFERROR(VLOOKUP(E5,'[1]M 기준정보'!$B$5:$C$49936,2,0),"")</f>
        <v/>
      </c>
      <c r="F6" s="24" t="str">
        <f>IFERROR(VLOOKUP(F5,'[1]M 기준정보'!$B$5:$C$49936,2,0),"")</f>
        <v>EPS7133 스타벅스 탁상用</v>
      </c>
      <c r="G6" s="24" t="str">
        <f>IFERROR(VLOOKUP(G5,'[1]M 기준정보'!$B$5:$C$49936,2,0),"")</f>
        <v/>
      </c>
      <c r="H6" s="24" t="str">
        <f>IFERROR(VLOOKUP(H5,'[1]M 기준정보'!$B$5:$C$49936,2,0),"")</f>
        <v/>
      </c>
      <c r="I6" s="24" t="str">
        <f>IFERROR(VLOOKUP(I5,'[1]M 기준정보'!$B$5:$C$49936,2,0),"")</f>
        <v/>
      </c>
      <c r="J6" s="24" t="str">
        <f>IFERROR(VLOOKUP(J5,'[1]M 기준정보'!$B$5:$C$49936,2,0),"")</f>
        <v/>
      </c>
      <c r="K6" s="24" t="str">
        <f>IFERROR(VLOOKUP(K5,'[1]M 기준정보'!$B$5:$C$49936,2,0),"")</f>
        <v/>
      </c>
      <c r="L6" s="24" t="str">
        <f>IFERROR(VLOOKUP(L5,'[1]M 기준정보'!$B$5:$C$49936,2,0),"")</f>
        <v>S6133 GRIFFIN [13.3"] [Junifer]</v>
      </c>
      <c r="M6" s="24" t="str">
        <f>IFERROR(VLOOKUP(M5,'[1]M 기준정보'!$B$5:$C$49936,2,0),"")</f>
        <v>S6133 GRIFFIN [13.3"] [Junifer]</v>
      </c>
      <c r="N6" s="24" t="str">
        <f>IFERROR(VLOOKUP(N5,'[1]M 기준정보'!$B$5:$C$49936,2,0),"")</f>
        <v/>
      </c>
      <c r="O6" s="24" t="str">
        <f>IFERROR(VLOOKUP(O5,'[1]M 기준정보'!$B$5:$C$49936,2,0),"")</f>
        <v/>
      </c>
      <c r="P6" s="24" t="str">
        <f>IFERROR(VLOOKUP(P5,'[1]M 기준정보'!$B$5:$C$49936,2,0),"")</f>
        <v>ALPINION KM</v>
      </c>
      <c r="Q6" s="24" t="str">
        <f>IFERROR(VLOOKUP(Q5,'[1]M 기준정보'!$B$5:$C$49936,2,0),"")</f>
        <v>ALPINION KM</v>
      </c>
      <c r="R6" s="24" t="str">
        <f>IFERROR(VLOOKUP(R5,'[1]M 기준정보'!$B$5:$C$49936,2,0),"")</f>
        <v/>
      </c>
      <c r="S6" s="24" t="str">
        <f>IFERROR(VLOOKUP(S5,'[1]M 기준정보'!$B$5:$C$49936,2,0),"")</f>
        <v>S6133-NT(NEW TREE)</v>
      </c>
      <c r="T6" s="24" t="str">
        <f>IFERROR(VLOOKUP(T5,'[1]M 기준정보'!$B$5:$C$49936,2,0),"")</f>
        <v>S6133-NT(NEW TREE)</v>
      </c>
      <c r="U6" s="24" t="str">
        <f>IFERROR(VLOOKUP(U5,'[1]M 기준정보'!$B$5:$C$49936,2,0),"")</f>
        <v/>
      </c>
      <c r="V6" s="24" t="str">
        <f>IFERROR(VLOOKUP(V5,'[1]M 기준정보'!$B$5:$C$49936,2,0),"")</f>
        <v/>
      </c>
      <c r="W6" s="24" t="str">
        <f>IFERROR(VLOOKUP(W5,'[1]M 기준정보'!$B$5:$C$49936,2,0),"")</f>
        <v>ALPINION KM</v>
      </c>
      <c r="X6" s="24" t="str">
        <f>IFERROR(VLOOKUP(X5,'[1]M 기준정보'!$B$5:$C$49936,2,0),"")</f>
        <v>ALPINION KM</v>
      </c>
      <c r="Y6" s="24" t="str">
        <f>IFERROR(VLOOKUP(Y5,'[1]M 기준정보'!$B$5:$C$49936,2,0),"")</f>
        <v>AFFINITI 필립스 (Rev.03)</v>
      </c>
      <c r="Z6" s="24" t="str">
        <f>IFERROR(VLOOKUP(Z5,'[1]M 기준정보'!$B$5:$C$49936,2,0),"")</f>
        <v>AFFINITI 필립스 (Rev.03)</v>
      </c>
      <c r="AA6" s="24" t="str">
        <f>IFERROR(VLOOKUP(AA5,'[1]M 기준정보'!$B$5:$C$49936,2,0),"")</f>
        <v>AFFINITI 필립스 (Rev.03)</v>
      </c>
      <c r="AB6" s="24" t="str">
        <f>IFERROR(VLOOKUP(AB5,'[1]M 기준정보'!$B$5:$C$49936,2,0),"")</f>
        <v/>
      </c>
      <c r="AC6" s="24" t="str">
        <f>IFERROR(VLOOKUP(AC5,'[1]M 기준정보'!$B$5:$C$49936,2,0),"")</f>
        <v/>
      </c>
      <c r="AD6" s="24" t="str">
        <f>IFERROR(VLOOKUP(AD5,'[1]M 기준정보'!$B$5:$C$49936,2,0),"")</f>
        <v>S6133 K2 지멘스 [13.3"]</v>
      </c>
      <c r="AE6" s="24" t="str">
        <f>IFERROR(VLOOKUP(AE5,'[1]M 기준정보'!$B$5:$C$49936,2,0),"")</f>
        <v>S6133-NT(NEW TREE)</v>
      </c>
      <c r="AF6" s="24" t="str">
        <f>IFERROR(VLOOKUP(AF5,'[1]M 기준정보'!$B$5:$C$49936,2,0),"")</f>
        <v>S6133-NT(NEW TREE)</v>
      </c>
      <c r="AG6" s="24" t="str">
        <f>IFERROR(VLOOKUP(AG5,'[1]M 기준정보'!$B$5:$C$49936,2,0),"")</f>
        <v>S6133-NT(NEW TREE)</v>
      </c>
      <c r="AH6" s="24" t="str">
        <f>IFERROR(VLOOKUP(AH5,'[1]M 기준정보'!$B$5:$C$49936,2,0),"")</f>
        <v/>
      </c>
      <c r="AI6" s="24" t="str">
        <f>IFERROR(VLOOKUP(AI5,'[1]M 기준정보'!$B$5:$C$49936,2,0),"")</f>
        <v/>
      </c>
      <c r="AJ6" s="24" t="str">
        <f>IFERROR(VLOOKUP(AJ5,'[1]M 기준정보'!$B$5:$C$49936,2,0),"")</f>
        <v/>
      </c>
      <c r="AK6" s="24" t="str">
        <f>IFERROR(VLOOKUP(AK5,'[1]M 기준정보'!$B$5:$C$49936,2,0),"")</f>
        <v/>
      </c>
      <c r="AL6" s="24" t="str">
        <f>IFERROR(VLOOKUP(AL5,'[1]M 기준정보'!$B$5:$C$49936,2,0),"")</f>
        <v/>
      </c>
      <c r="AM6" s="24" t="str">
        <f>IFERROR(VLOOKUP(AM5,'[1]M 기준정보'!$B$5:$C$49936,2,0),"")</f>
        <v>S6133-NT(NEW TREE)</v>
      </c>
      <c r="AN6" s="24" t="str">
        <f>IFERROR(VLOOKUP(AN5,'[1]M 기준정보'!$B$5:$C$49936,2,0),"")</f>
        <v>S6133-NT(NEW TREE)</v>
      </c>
      <c r="AO6" s="24" t="str">
        <f>IFERROR(VLOOKUP(AO5,'[1]M 기준정보'!$B$5:$C$49936,2,0),"")</f>
        <v>S6133-NT(NEW TREE)</v>
      </c>
      <c r="AP6" s="24" t="str">
        <f>IFERROR(VLOOKUP(AP5,'[1]M 기준정보'!$B$5:$C$49936,2,0),"")</f>
        <v/>
      </c>
      <c r="AQ6" s="24" t="str">
        <f>IFERROR(VLOOKUP(AQ5,'[1]M 기준정보'!$B$5:$C$49936,2,0),"")</f>
        <v/>
      </c>
      <c r="AR6" s="24" t="str">
        <f>IFERROR(VLOOKUP(AR5,'[1]M 기준정보'!$B$5:$C$49936,2,0),"")</f>
        <v/>
      </c>
      <c r="AS6" s="24" t="str">
        <f>IFERROR(VLOOKUP(AS5,'[1]M 기준정보'!$B$5:$C$49936,2,0),"")</f>
        <v/>
      </c>
      <c r="AT6" s="24" t="str">
        <f>IFERROR(VLOOKUP(AT5,'[1]M 기준정보'!$B$5:$C$49936,2,0),"")</f>
        <v/>
      </c>
      <c r="AU6" s="24" t="str">
        <f>IFERROR(VLOOKUP(AU5,'[1]M 기준정보'!$B$5:$C$49936,2,0),"")</f>
        <v/>
      </c>
      <c r="AV6" s="24" t="str">
        <f>IFERROR(VLOOKUP(AV5,'[1]M 기준정보'!$B$5:$C$49936,2,0),"")</f>
        <v/>
      </c>
      <c r="AW6" s="24" t="str">
        <f>IFERROR(VLOOKUP(AW5,'[1]M 기준정보'!$B$5:$C$49936,2,0),"")</f>
        <v/>
      </c>
      <c r="AX6" s="24" t="str">
        <f>IFERROR(VLOOKUP(AX5,'[1]M 기준정보'!$B$5:$C$49936,2,0),"")</f>
        <v/>
      </c>
      <c r="AY6" s="24" t="str">
        <f>IFERROR(VLOOKUP(AY5,'[1]M 기준정보'!$B$5:$C$49936,2,0),"")</f>
        <v/>
      </c>
      <c r="AZ6" s="24" t="str">
        <f>IFERROR(VLOOKUP(AZ5,'[1]M 기준정보'!$B$5:$C$49936,2,0),"")</f>
        <v/>
      </c>
      <c r="BA6" s="24" t="str">
        <f>IFERROR(VLOOKUP(BA5,'[1]M 기준정보'!$B$5:$C$49936,2,0),"")</f>
        <v/>
      </c>
      <c r="BB6" s="24" t="str">
        <f>IFERROR(VLOOKUP(BB5,'[1]M 기준정보'!$B$5:$C$49936,2,0),"")</f>
        <v/>
      </c>
      <c r="BC6" s="24" t="str">
        <f>IFERROR(VLOOKUP(BC5,'[1]M 기준정보'!$B$5:$C$49936,2,0),"")</f>
        <v/>
      </c>
      <c r="BD6" s="24" t="str">
        <f>IFERROR(VLOOKUP(BD5,'[1]M 기준정보'!$B$5:$C$49936,2,0),"")</f>
        <v/>
      </c>
      <c r="BE6" s="24" t="str">
        <f>IFERROR(VLOOKUP(BE5,'[1]M 기준정보'!$B$5:$C$49936,2,0),"")</f>
        <v/>
      </c>
      <c r="BF6" s="24" t="str">
        <f>IFERROR(VLOOKUP(BF5,'[1]M 기준정보'!$B$5:$C$49936,2,0),"")</f>
        <v/>
      </c>
      <c r="BG6" s="24" t="str">
        <f>IFERROR(VLOOKUP(BG5,'[1]M 기준정보'!$B$5:$C$49936,2,0),"")</f>
        <v/>
      </c>
      <c r="BH6" s="24" t="str">
        <f>IFERROR(VLOOKUP(BH5,'[1]M 기준정보'!$B$5:$C$49936,2,0),"")</f>
        <v/>
      </c>
      <c r="BI6" s="24" t="str">
        <f>IFERROR(VLOOKUP(BI5,'[1]M 기준정보'!$B$5:$C$49936,2,0),"")</f>
        <v/>
      </c>
      <c r="BJ6" s="24" t="str">
        <f>IFERROR(VLOOKUP(BJ5,'[1]M 기준정보'!$B$5:$C$49936,2,0),"")</f>
        <v/>
      </c>
      <c r="BK6" s="24" t="str">
        <f>IFERROR(VLOOKUP(BK5,'[1]M 기준정보'!$B$5:$C$49936,2,0),"")</f>
        <v/>
      </c>
      <c r="BL6" s="24" t="str">
        <f>IFERROR(VLOOKUP(BL5,'[1]M 기준정보'!$B$5:$C$49936,2,0),"")</f>
        <v/>
      </c>
      <c r="BM6" s="24" t="str">
        <f>IFERROR(VLOOKUP(BM5,'[1]M 기준정보'!$B$5:$C$49936,2,0),"")</f>
        <v/>
      </c>
      <c r="BN6" s="24" t="str">
        <f>IFERROR(VLOOKUP(BN5,'[1]M 기준정보'!$B$5:$C$49936,2,0),"")</f>
        <v/>
      </c>
      <c r="BO6" s="24" t="str">
        <f>IFERROR(VLOOKUP(BO5,'[1]M 기준정보'!$B$5:$C$49936,2,0),"")</f>
        <v/>
      </c>
      <c r="BP6" s="24" t="str">
        <f>IFERROR(VLOOKUP(BP5,'[1]M 기준정보'!$B$5:$C$49936,2,0),"")</f>
        <v/>
      </c>
      <c r="BQ6" s="24" t="str">
        <f>IFERROR(VLOOKUP(BQ5,'[1]M 기준정보'!$B$5:$C$49936,2,0),"")</f>
        <v/>
      </c>
      <c r="BR6" s="24" t="str">
        <f>IFERROR(VLOOKUP(BR5,'[1]M 기준정보'!$B$5:$C$49936,2,0),"")</f>
        <v/>
      </c>
      <c r="BS6" s="24" t="str">
        <f>IFERROR(VLOOKUP(BS5,'[1]M 기준정보'!$B$5:$C$49936,2,0),"")</f>
        <v/>
      </c>
      <c r="BT6" s="24" t="str">
        <f>IFERROR(VLOOKUP(BT5,'[1]M 기준정보'!$B$5:$C$49936,2,0),"")</f>
        <v/>
      </c>
      <c r="BU6" s="24" t="str">
        <f>IFERROR(VLOOKUP(BU5,'[1]M 기준정보'!$B$5:$C$49936,2,0),"")</f>
        <v/>
      </c>
      <c r="BV6" s="24" t="str">
        <f>IFERROR(VLOOKUP(BV5,'[1]M 기준정보'!$B$5:$C$49936,2,0),"")</f>
        <v/>
      </c>
      <c r="BW6" s="24" t="str">
        <f>IFERROR(VLOOKUP(BW5,'[1]M 기준정보'!$B$5:$C$49936,2,0),"")</f>
        <v/>
      </c>
      <c r="BX6" s="24" t="str">
        <f>IFERROR(VLOOKUP(BX5,'[1]M 기준정보'!$B$5:$C$49936,2,0),"")</f>
        <v/>
      </c>
      <c r="BY6" s="24" t="str">
        <f>IFERROR(VLOOKUP(BY5,'[1]M 기준정보'!$B$5:$C$49936,2,0),"")</f>
        <v/>
      </c>
      <c r="BZ6" s="24" t="str">
        <f>IFERROR(VLOOKUP(BZ5,'[1]M 기준정보'!$B$5:$C$49936,2,0),"")</f>
        <v/>
      </c>
      <c r="CA6" s="24" t="str">
        <f>IFERROR(VLOOKUP(CA5,'[1]M 기준정보'!$B$5:$C$49936,2,0),"")</f>
        <v/>
      </c>
      <c r="CB6" s="24" t="str">
        <f>IFERROR(VLOOKUP(CB5,'[1]M 기준정보'!$B$5:$C$49936,2,0),"")</f>
        <v/>
      </c>
      <c r="CC6" s="24" t="str">
        <f>IFERROR(VLOOKUP(CC5,'[1]M 기준정보'!$B$5:$C$49936,2,0),"")</f>
        <v/>
      </c>
      <c r="CD6" s="24" t="str">
        <f>IFERROR(VLOOKUP(CD5,'[1]M 기준정보'!$B$5:$C$49936,2,0),"")</f>
        <v/>
      </c>
      <c r="CE6" s="24" t="str">
        <f>IFERROR(VLOOKUP(CE5,'[1]M 기준정보'!$B$5:$C$49936,2,0),"")</f>
        <v/>
      </c>
      <c r="CF6" s="24" t="str">
        <f>IFERROR(VLOOKUP(CF5,'[1]M 기준정보'!$B$5:$C$49936,2,0),"")</f>
        <v/>
      </c>
      <c r="CG6" s="24" t="str">
        <f>IFERROR(VLOOKUP(CG5,'[1]M 기준정보'!$B$5:$C$49936,2,0),"")</f>
        <v/>
      </c>
      <c r="CH6" s="24" t="str">
        <f>IFERROR(VLOOKUP(CH5,'[1]M 기준정보'!$B$5:$C$49936,2,0),"")</f>
        <v/>
      </c>
      <c r="CI6" s="24" t="str">
        <f>IFERROR(VLOOKUP(CI5,'[1]M 기준정보'!$B$5:$C$49936,2,0),"")</f>
        <v/>
      </c>
      <c r="CJ6" s="24" t="str">
        <f>IFERROR(VLOOKUP(CJ5,'[1]M 기준정보'!$B$5:$C$49936,2,0),"")</f>
        <v/>
      </c>
      <c r="CK6" s="24" t="str">
        <f>IFERROR(VLOOKUP(CK5,'[1]M 기준정보'!$B$5:$C$49936,2,0),"")</f>
        <v/>
      </c>
      <c r="CL6" s="24" t="str">
        <f>IFERROR(VLOOKUP(CL5,'[1]M 기준정보'!$B$5:$C$49936,2,0),"")</f>
        <v/>
      </c>
      <c r="CM6" s="24" t="str">
        <f>IFERROR(VLOOKUP(CM5,'[1]M 기준정보'!$B$5:$C$49936,2,0),"")</f>
        <v/>
      </c>
      <c r="CN6" s="24" t="str">
        <f>IFERROR(VLOOKUP(CN5,'[1]M 기준정보'!$B$5:$C$49936,2,0),"")</f>
        <v/>
      </c>
      <c r="CO6" s="24" t="str">
        <f>IFERROR(VLOOKUP(CO5,'[1]M 기준정보'!$B$5:$C$49936,2,0),"")</f>
        <v/>
      </c>
      <c r="CP6" s="24" t="str">
        <f>IFERROR(VLOOKUP(CP5,'[1]M 기준정보'!$B$5:$C$49936,2,0),"")</f>
        <v/>
      </c>
      <c r="CQ6" s="24" t="str">
        <f>IFERROR(VLOOKUP(CQ5,'[1]M 기준정보'!$B$5:$C$49936,2,0),"")</f>
        <v/>
      </c>
      <c r="CR6" s="24" t="str">
        <f>IFERROR(VLOOKUP(CR5,'[1]M 기준정보'!$B$5:$C$49936,2,0),"")</f>
        <v/>
      </c>
      <c r="CS6" s="24" t="str">
        <f>IFERROR(VLOOKUP(CS5,'[1]M 기준정보'!$B$5:$C$49936,2,0),"")</f>
        <v/>
      </c>
      <c r="CT6" s="24" t="str">
        <f>IFERROR(VLOOKUP(CT5,'[1]M 기준정보'!$B$5:$C$49936,2,0),"")</f>
        <v/>
      </c>
      <c r="CU6" s="24" t="str">
        <f>IFERROR(VLOOKUP(CU5,'[1]M 기준정보'!$B$5:$C$49936,2,0),"")</f>
        <v/>
      </c>
      <c r="CV6" s="24" t="str">
        <f>IFERROR(VLOOKUP(CV5,'[1]M 기준정보'!$B$5:$C$49936,2,0),"")</f>
        <v/>
      </c>
      <c r="CW6" s="24" t="str">
        <f>IFERROR(VLOOKUP(CW5,'[1]M 기준정보'!$B$5:$C$49936,2,0),"")</f>
        <v/>
      </c>
      <c r="CX6" s="24" t="str">
        <f>IFERROR(VLOOKUP(CX5,'[1]M 기준정보'!$B$5:$C$49936,2,0),"")</f>
        <v/>
      </c>
      <c r="CY6" s="24" t="str">
        <f>IFERROR(VLOOKUP(CY5,'[1]M 기준정보'!$B$5:$C$49936,2,0),"")</f>
        <v/>
      </c>
      <c r="CZ6" s="24" t="str">
        <f>IFERROR(VLOOKUP(CZ5,'[1]M 기준정보'!$B$5:$C$49936,2,0),"")</f>
        <v/>
      </c>
      <c r="DA6" s="24" t="str">
        <f>IFERROR(VLOOKUP(DA5,'[1]M 기준정보'!$B$5:$C$49936,2,0),"")</f>
        <v/>
      </c>
      <c r="DB6" s="24" t="str">
        <f>IFERROR(VLOOKUP(DB5,'[1]M 기준정보'!$B$5:$C$49936,2,0),"")</f>
        <v/>
      </c>
      <c r="DC6" s="24" t="str">
        <f>IFERROR(VLOOKUP(DC5,'[1]M 기준정보'!$B$5:$C$49936,2,0),"")</f>
        <v/>
      </c>
      <c r="DD6" s="24" t="str">
        <f>IFERROR(VLOOKUP(DD5,'[1]M 기준정보'!$B$5:$C$49936,2,0),"")</f>
        <v/>
      </c>
      <c r="DE6" s="24" t="str">
        <f>IFERROR(VLOOKUP(DE5,'[1]M 기준정보'!$B$5:$C$49936,2,0),"")</f>
        <v/>
      </c>
      <c r="DF6" s="24" t="str">
        <f>IFERROR(VLOOKUP(DF5,'[1]M 기준정보'!$B$5:$C$49936,2,0),"")</f>
        <v/>
      </c>
      <c r="DG6" s="24" t="str">
        <f>IFERROR(VLOOKUP(DG5,'[1]M 기준정보'!$B$5:$C$49936,2,0),"")</f>
        <v/>
      </c>
      <c r="DH6" s="24" t="str">
        <f>IFERROR(VLOOKUP(DH5,'[1]M 기준정보'!$B$5:$C$49936,2,0),"")</f>
        <v/>
      </c>
      <c r="DI6" s="24" t="str">
        <f>IFERROR(VLOOKUP(DI5,'[1]M 기준정보'!$B$5:$C$49936,2,0),"")</f>
        <v/>
      </c>
      <c r="DJ6" s="24" t="str">
        <f>IFERROR(VLOOKUP(DJ5,'[1]M 기준정보'!$B$5:$C$49936,2,0),"")</f>
        <v/>
      </c>
      <c r="DK6" s="24" t="str">
        <f>IFERROR(VLOOKUP(DK5,'[1]M 기준정보'!$B$5:$C$49936,2,0),"")</f>
        <v/>
      </c>
      <c r="DL6" s="24" t="str">
        <f>IFERROR(VLOOKUP(DL5,'[1]M 기준정보'!$B$5:$C$49936,2,0),"")</f>
        <v/>
      </c>
      <c r="DM6" s="24" t="str">
        <f>IFERROR(VLOOKUP(DM5,'[1]M 기준정보'!$B$5:$C$49936,2,0),"")</f>
        <v/>
      </c>
      <c r="DN6" s="24" t="str">
        <f>IFERROR(VLOOKUP(DN5,'[1]M 기준정보'!$B$5:$C$49936,2,0),"")</f>
        <v/>
      </c>
      <c r="DO6" s="24" t="str">
        <f>IFERROR(VLOOKUP(DO5,'[1]M 기준정보'!$B$5:$C$49936,2,0),"")</f>
        <v/>
      </c>
      <c r="DP6" s="24" t="str">
        <f>IFERROR(VLOOKUP(DP5,'[1]M 기준정보'!$B$5:$C$49936,2,0),"")</f>
        <v/>
      </c>
      <c r="DQ6" s="24" t="str">
        <f>IFERROR(VLOOKUP(DQ5,'[1]M 기준정보'!$B$5:$C$49936,2,0),"")</f>
        <v/>
      </c>
      <c r="DR6" s="24" t="str">
        <f>IFERROR(VLOOKUP(DR5,'[1]M 기준정보'!$B$5:$C$49936,2,0),"")</f>
        <v/>
      </c>
      <c r="DS6" s="24" t="str">
        <f>IFERROR(VLOOKUP(DS5,'[1]M 기준정보'!$B$5:$C$49936,2,0),"")</f>
        <v/>
      </c>
      <c r="DT6" s="24" t="str">
        <f>IFERROR(VLOOKUP(DT5,'[1]M 기준정보'!$B$5:$C$49936,2,0),"")</f>
        <v/>
      </c>
      <c r="DU6" s="24" t="str">
        <f>IFERROR(VLOOKUP(DU5,'[1]M 기준정보'!$B$5:$C$49936,2,0),"")</f>
        <v/>
      </c>
      <c r="DV6" s="24" t="str">
        <f>IFERROR(VLOOKUP(DV5,'[1]M 기준정보'!$B$5:$C$49936,2,0),"")</f>
        <v/>
      </c>
      <c r="DW6" s="24" t="str">
        <f>IFERROR(VLOOKUP(DW5,'[1]M 기준정보'!$B$5:$C$49936,2,0),"")</f>
        <v/>
      </c>
      <c r="DX6" s="24" t="str">
        <f>IFERROR(VLOOKUP(DX5,'[1]M 기준정보'!$B$5:$C$49936,2,0),"")</f>
        <v/>
      </c>
      <c r="DY6" s="24" t="str">
        <f>IFERROR(VLOOKUP(DY5,'[1]M 기준정보'!$B$5:$C$49936,2,0),"")</f>
        <v/>
      </c>
      <c r="DZ6" s="24" t="str">
        <f>IFERROR(VLOOKUP(DZ5,'[1]M 기준정보'!$B$5:$C$49936,2,0),"")</f>
        <v/>
      </c>
      <c r="EA6" s="24" t="str">
        <f>IFERROR(VLOOKUP(EA5,'[1]M 기준정보'!$B$5:$C$49936,2,0),"")</f>
        <v/>
      </c>
      <c r="EB6" s="24" t="str">
        <f>IFERROR(VLOOKUP(EB5,'[1]M 기준정보'!$B$5:$C$49936,2,0),"")</f>
        <v/>
      </c>
      <c r="EC6" s="24" t="str">
        <f>IFERROR(VLOOKUP(EC5,'[1]M 기준정보'!$B$5:$C$49936,2,0),"")</f>
        <v/>
      </c>
      <c r="ED6" s="24" t="str">
        <f>IFERROR(VLOOKUP(ED5,'[1]M 기준정보'!$B$5:$C$49936,2,0),"")</f>
        <v/>
      </c>
      <c r="EE6" s="24" t="str">
        <f>IFERROR(VLOOKUP(EE5,'[1]M 기준정보'!$B$5:$C$49936,2,0),"")</f>
        <v/>
      </c>
      <c r="EF6" s="24" t="str">
        <f>IFERROR(VLOOKUP(EF5,'[1]M 기준정보'!$B$5:$C$49936,2,0),"")</f>
        <v/>
      </c>
    </row>
    <row r="7" spans="1:136" ht="20.25" customHeight="1" x14ac:dyDescent="0.3">
      <c r="A7" s="22"/>
      <c r="B7" s="25" t="s">
        <v>24</v>
      </c>
      <c r="C7" s="26">
        <v>20</v>
      </c>
      <c r="D7" s="26"/>
      <c r="E7" s="26"/>
      <c r="F7" s="26">
        <v>16</v>
      </c>
      <c r="G7" s="26"/>
      <c r="H7" s="26"/>
      <c r="I7" s="26"/>
      <c r="J7" s="26"/>
      <c r="K7" s="26"/>
      <c r="L7" s="26">
        <v>20</v>
      </c>
      <c r="M7" s="26">
        <v>20</v>
      </c>
      <c r="N7" s="26"/>
      <c r="O7" s="26"/>
      <c r="P7" s="26">
        <v>20</v>
      </c>
      <c r="Q7" s="26">
        <v>20</v>
      </c>
      <c r="R7" s="26"/>
      <c r="S7" s="26">
        <v>26</v>
      </c>
      <c r="T7" s="26">
        <v>20</v>
      </c>
      <c r="U7" s="26"/>
      <c r="V7" s="26"/>
      <c r="W7" s="26">
        <v>25</v>
      </c>
      <c r="X7" s="26">
        <v>20</v>
      </c>
      <c r="Y7" s="26">
        <v>20</v>
      </c>
      <c r="Z7" s="26">
        <v>20</v>
      </c>
      <c r="AA7" s="26">
        <v>20</v>
      </c>
      <c r="AB7" s="26"/>
      <c r="AC7" s="26"/>
      <c r="AD7" s="26">
        <v>4</v>
      </c>
      <c r="AE7" s="26">
        <v>20</v>
      </c>
      <c r="AF7" s="26">
        <v>20</v>
      </c>
      <c r="AG7" s="26">
        <v>20</v>
      </c>
      <c r="AH7" s="26"/>
      <c r="AI7" s="26"/>
      <c r="AJ7" s="26"/>
      <c r="AK7" s="26"/>
      <c r="AL7" s="26"/>
      <c r="AM7" s="26">
        <v>20</v>
      </c>
      <c r="AN7" s="26">
        <v>20</v>
      </c>
      <c r="AO7" s="26">
        <v>20</v>
      </c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</row>
    <row r="8" spans="1:136" ht="20.25" customHeight="1" thickBot="1" x14ac:dyDescent="0.35">
      <c r="A8" s="22"/>
      <c r="B8" s="27" t="s">
        <v>25</v>
      </c>
      <c r="C8" s="28"/>
      <c r="D8" s="28"/>
      <c r="E8" s="28"/>
      <c r="F8" s="28" t="s">
        <v>26</v>
      </c>
      <c r="G8" s="29"/>
      <c r="H8" s="29"/>
      <c r="I8" s="29"/>
      <c r="J8" s="29"/>
      <c r="K8" s="29"/>
      <c r="L8" s="28" t="s">
        <v>27</v>
      </c>
      <c r="M8" s="29"/>
      <c r="N8" s="29"/>
      <c r="O8" s="29"/>
      <c r="P8" s="28" t="s">
        <v>27</v>
      </c>
      <c r="Q8" s="28"/>
      <c r="R8" s="29"/>
      <c r="S8" s="28" t="s">
        <v>28</v>
      </c>
      <c r="T8" s="28"/>
      <c r="U8" s="29"/>
      <c r="V8" s="29"/>
      <c r="W8" s="28" t="s">
        <v>29</v>
      </c>
      <c r="X8" s="28"/>
      <c r="Y8" s="29"/>
      <c r="Z8" s="29"/>
      <c r="AA8" s="29"/>
      <c r="AB8" s="29"/>
      <c r="AC8" s="29"/>
      <c r="AD8" s="28" t="s">
        <v>30</v>
      </c>
      <c r="AE8" s="28" t="s">
        <v>31</v>
      </c>
      <c r="AF8" s="29"/>
      <c r="AG8" s="29"/>
      <c r="AH8" s="29"/>
      <c r="AI8" s="29"/>
      <c r="AJ8" s="29"/>
      <c r="AK8" s="29"/>
      <c r="AL8" s="29"/>
      <c r="AM8" s="28" t="s">
        <v>32</v>
      </c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</row>
    <row r="9" spans="1:136" ht="17.25" hidden="1" customHeight="1" thickBot="1" x14ac:dyDescent="0.35">
      <c r="A9" s="22"/>
      <c r="B9" s="30" t="s">
        <v>33</v>
      </c>
      <c r="C9" s="31">
        <f>IFERROR(VLOOKUP(C5,'[1]M 기준정보'!$B$5:$F$49936,5,0)*생산계획!C7,"")</f>
        <v>7.1999999999999993</v>
      </c>
      <c r="D9" s="31" t="str">
        <f>IFERROR(VLOOKUP(D5,'[1]M 기준정보'!$B$5:$F$49936,5,0)*생산계획!D7,"")</f>
        <v/>
      </c>
      <c r="E9" s="31" t="str">
        <f>IFERROR(VLOOKUP(E5,'[1]M 기준정보'!$B$5:$F$49936,5,0)*생산계획!E7,"")</f>
        <v/>
      </c>
      <c r="F9" s="31">
        <f>IFERROR(VLOOKUP(F5,'[1]M 기준정보'!$B$5:$F$49936,5,0)*생산계획!F7,"")</f>
        <v>11.2</v>
      </c>
      <c r="G9" s="31" t="str">
        <f>IFERROR(VLOOKUP(G5,'[1]M 기준정보'!$B$5:$F$49936,5,0)*생산계획!G7,"")</f>
        <v/>
      </c>
      <c r="H9" s="31" t="str">
        <f>IFERROR(VLOOKUP(H5,'[1]M 기준정보'!$B$5:$F$49936,5,0)*생산계획!H7,"")</f>
        <v/>
      </c>
      <c r="I9" s="31" t="str">
        <f>IFERROR(VLOOKUP(I5,'[1]M 기준정보'!$B$5:$F$49936,5,0)*생산계획!I7,"")</f>
        <v/>
      </c>
      <c r="J9" s="31" t="str">
        <f>IFERROR(VLOOKUP(J5,'[1]M 기준정보'!$B$5:$F$49936,5,0)*생산계획!J7,"")</f>
        <v/>
      </c>
      <c r="K9" s="31" t="str">
        <f>IFERROR(VLOOKUP(K5,'[1]M 기준정보'!$B$5:$F$49936,5,0)*생산계획!K7,"")</f>
        <v/>
      </c>
      <c r="L9" s="31">
        <f>IFERROR(VLOOKUP(L5,'[1]M 기준정보'!$B$5:$F$49936,5,0)*생산계획!L7,"")</f>
        <v>7.1999999999999993</v>
      </c>
      <c r="M9" s="31">
        <f>IFERROR(VLOOKUP(M5,'[1]M 기준정보'!$B$5:$F$49936,5,0)*생산계획!M7,"")</f>
        <v>7.1999999999999993</v>
      </c>
      <c r="N9" s="31" t="str">
        <f>IFERROR(VLOOKUP(N5,'[1]M 기준정보'!$B$5:$F$49936,5,0)*생산계획!N7,"")</f>
        <v/>
      </c>
      <c r="O9" s="31" t="str">
        <f>IFERROR(VLOOKUP(O5,'[1]M 기준정보'!$B$5:$F$49936,5,0)*생산계획!O7,"")</f>
        <v/>
      </c>
      <c r="P9" s="31">
        <f>IFERROR(VLOOKUP(P5,'[1]M 기준정보'!$B$5:$F$49936,5,0)*생산계획!P7,"")</f>
        <v>7.1999999999999993</v>
      </c>
      <c r="Q9" s="31">
        <f>IFERROR(VLOOKUP(Q5,'[1]M 기준정보'!$B$5:$F$49936,5,0)*생산계획!Q7,"")</f>
        <v>7.1999999999999993</v>
      </c>
      <c r="R9" s="31" t="str">
        <f>IFERROR(VLOOKUP(R5,'[1]M 기준정보'!$B$5:$F$49936,5,0)*생산계획!R7,"")</f>
        <v/>
      </c>
      <c r="S9" s="31">
        <f>IFERROR(VLOOKUP(S5,'[1]M 기준정보'!$B$5:$F$49936,5,0)*생산계획!S7,"")</f>
        <v>9.36</v>
      </c>
      <c r="T9" s="31">
        <f>IFERROR(VLOOKUP(T5,'[1]M 기준정보'!$B$5:$F$49936,5,0)*생산계획!T7,"")</f>
        <v>7.1999999999999993</v>
      </c>
      <c r="U9" s="31" t="str">
        <f>IFERROR(VLOOKUP(U5,'[1]M 기준정보'!$B$5:$F$49936,5,0)*생산계획!U7,"")</f>
        <v/>
      </c>
      <c r="V9" s="31" t="str">
        <f>IFERROR(VLOOKUP(V5,'[1]M 기준정보'!$B$5:$F$49936,5,0)*생산계획!V7,"")</f>
        <v/>
      </c>
      <c r="W9" s="31">
        <f>IFERROR(VLOOKUP(W5,'[1]M 기준정보'!$B$5:$F$49936,5,0)*생산계획!W7,"")</f>
        <v>9</v>
      </c>
      <c r="X9" s="31">
        <f>IFERROR(VLOOKUP(X5,'[1]M 기준정보'!$B$5:$F$49936,5,0)*생산계획!X7,"")</f>
        <v>7.1999999999999993</v>
      </c>
      <c r="Y9" s="31">
        <f>IFERROR(VLOOKUP(Y5,'[1]M 기준정보'!$B$5:$F$49936,5,0)*생산계획!Y7,"")</f>
        <v>7.1999999999999993</v>
      </c>
      <c r="Z9" s="31">
        <f>IFERROR(VLOOKUP(Z5,'[1]M 기준정보'!$B$5:$F$49936,5,0)*생산계획!Z7,"")</f>
        <v>7.1999999999999993</v>
      </c>
      <c r="AA9" s="31">
        <f>IFERROR(VLOOKUP(AA5,'[1]M 기준정보'!$B$5:$F$49936,5,0)*생산계획!AA7,"")</f>
        <v>7.1999999999999993</v>
      </c>
      <c r="AB9" s="31" t="str">
        <f>IFERROR(VLOOKUP(AB5,'[1]M 기준정보'!$B$5:$F$49936,5,0)*생산계획!AB7,"")</f>
        <v/>
      </c>
      <c r="AC9" s="31" t="str">
        <f>IFERROR(VLOOKUP(AC5,'[1]M 기준정보'!$B$5:$F$49936,5,0)*생산계획!AC7,"")</f>
        <v/>
      </c>
      <c r="AD9" s="31">
        <f>IFERROR(VLOOKUP(AD5,'[1]M 기준정보'!$B$5:$F$49936,5,0)*생산계획!AD7,"")</f>
        <v>1.44</v>
      </c>
      <c r="AE9" s="31">
        <f>IFERROR(VLOOKUP(AE5,'[1]M 기준정보'!$B$5:$F$49936,5,0)*생산계획!AE7,"")</f>
        <v>7.1999999999999993</v>
      </c>
      <c r="AF9" s="31">
        <f>IFERROR(VLOOKUP(AF5,'[1]M 기준정보'!$B$5:$F$49936,5,0)*생산계획!AF7,"")</f>
        <v>7.1999999999999993</v>
      </c>
      <c r="AG9" s="31">
        <f>IFERROR(VLOOKUP(AG5,'[1]M 기준정보'!$B$5:$F$49936,5,0)*생산계획!AG7,"")</f>
        <v>7.1999999999999993</v>
      </c>
      <c r="AH9" s="31" t="str">
        <f>IFERROR(VLOOKUP(AH5,'[1]M 기준정보'!$B$5:$F$49936,5,0)*생산계획!AH7,"")</f>
        <v/>
      </c>
      <c r="AI9" s="31" t="str">
        <f>IFERROR(VLOOKUP(AI5,'[1]M 기준정보'!$B$5:$F$49936,5,0)*생산계획!AI7,"")</f>
        <v/>
      </c>
      <c r="AJ9" s="31" t="str">
        <f>IFERROR(VLOOKUP(AJ5,'[1]M 기준정보'!$B$5:$F$49936,5,0)*생산계획!AJ7,"")</f>
        <v/>
      </c>
      <c r="AK9" s="31" t="str">
        <f>IFERROR(VLOOKUP(AK5,'[1]M 기준정보'!$B$5:$F$49936,5,0)*생산계획!AK7,"")</f>
        <v/>
      </c>
      <c r="AL9" s="31" t="str">
        <f>IFERROR(VLOOKUP(AL5,'[1]M 기준정보'!$B$5:$F$49936,5,0)*생산계획!AL7,"")</f>
        <v/>
      </c>
      <c r="AM9" s="31">
        <f>IFERROR(VLOOKUP(AM5,'[1]M 기준정보'!$B$5:$F$49936,5,0)*생산계획!AM7,"")</f>
        <v>7.1999999999999993</v>
      </c>
      <c r="AN9" s="31">
        <f>IFERROR(VLOOKUP(AN5,'[1]M 기준정보'!$B$5:$F$49936,5,0)*생산계획!AN7,"")</f>
        <v>7.1999999999999993</v>
      </c>
      <c r="AO9" s="31">
        <f>IFERROR(VLOOKUP(AO5,'[1]M 기준정보'!$B$5:$F$49936,5,0)*생산계획!AO7,"")</f>
        <v>7.1999999999999993</v>
      </c>
      <c r="AP9" s="31" t="str">
        <f>IFERROR(VLOOKUP(AP5,'[1]M 기준정보'!$B$5:$F$49936,5,0)*생산계획!AP7,"")</f>
        <v/>
      </c>
      <c r="AQ9" s="31" t="str">
        <f>IFERROR(VLOOKUP(AQ5,'[1]M 기준정보'!$B$5:$F$49936,5,0)*생산계획!AQ7,"")</f>
        <v/>
      </c>
      <c r="AR9" s="31" t="str">
        <f>IFERROR(VLOOKUP(AR5,'[1]M 기준정보'!$B$5:$F$49936,5,0)*생산계획!AR7,"")</f>
        <v/>
      </c>
      <c r="AS9" s="31" t="str">
        <f>IFERROR(VLOOKUP(AS5,'[1]M 기준정보'!$B$5:$F$49936,5,0)*생산계획!AS7,"")</f>
        <v/>
      </c>
      <c r="AT9" s="31" t="str">
        <f>IFERROR(VLOOKUP(AT5,'[1]M 기준정보'!$B$5:$F$49936,5,0)*생산계획!AT7,"")</f>
        <v/>
      </c>
      <c r="AU9" s="31" t="str">
        <f>IFERROR(VLOOKUP(AU5,'[1]M 기준정보'!$B$5:$F$49936,5,0)*생산계획!AU7,"")</f>
        <v/>
      </c>
      <c r="AV9" s="31" t="str">
        <f>IFERROR(VLOOKUP(AV5,'[1]M 기준정보'!$B$5:$F$49936,5,0)*생산계획!AV7,"")</f>
        <v/>
      </c>
      <c r="AW9" s="31" t="str">
        <f>IFERROR(VLOOKUP(AW5,'[1]M 기준정보'!$B$5:$F$49936,5,0)*생산계획!AW7,"")</f>
        <v/>
      </c>
      <c r="AX9" s="31" t="str">
        <f>IFERROR(VLOOKUP(AX5,'[1]M 기준정보'!$B$5:$F$49936,5,0)*생산계획!AX7,"")</f>
        <v/>
      </c>
      <c r="AY9" s="31" t="str">
        <f>IFERROR(VLOOKUP(AY5,'[1]M 기준정보'!$B$5:$F$49936,5,0)*생산계획!AY7,"")</f>
        <v/>
      </c>
      <c r="AZ9" s="31" t="str">
        <f>IFERROR(VLOOKUP(AZ5,'[1]M 기준정보'!$B$5:$F$49936,5,0)*생산계획!AZ7,"")</f>
        <v/>
      </c>
      <c r="BA9" s="31" t="str">
        <f>IFERROR(VLOOKUP(BA5,'[1]M 기준정보'!$B$5:$F$49936,5,0)*생산계획!BA7,"")</f>
        <v/>
      </c>
      <c r="BB9" s="31" t="str">
        <f>IFERROR(VLOOKUP(BB5,'[1]M 기준정보'!$B$5:$F$49936,5,0)*생산계획!BB7,"")</f>
        <v/>
      </c>
      <c r="BC9" s="31" t="str">
        <f>IFERROR(VLOOKUP(BC5,'[1]M 기준정보'!$B$5:$F$49936,5,0)*생산계획!BC7,"")</f>
        <v/>
      </c>
      <c r="BD9" s="31" t="str">
        <f>IFERROR(VLOOKUP(BD5,'[1]M 기준정보'!$B$5:$F$49936,5,0)*생산계획!BD7,"")</f>
        <v/>
      </c>
      <c r="BE9" s="31" t="str">
        <f>IFERROR(VLOOKUP(BE5,'[1]M 기준정보'!$B$5:$F$49936,5,0)*생산계획!BE7,"")</f>
        <v/>
      </c>
      <c r="BF9" s="31" t="str">
        <f>IFERROR(VLOOKUP(BF5,'[1]M 기준정보'!$B$5:$F$49936,5,0)*생산계획!BF7,"")</f>
        <v/>
      </c>
      <c r="BG9" s="31" t="str">
        <f>IFERROR(VLOOKUP(BG5,'[1]M 기준정보'!$B$5:$F$49936,5,0)*생산계획!BG7,"")</f>
        <v/>
      </c>
      <c r="BH9" s="31" t="str">
        <f>IFERROR(VLOOKUP(BH5,'[1]M 기준정보'!$B$5:$F$49936,5,0)*생산계획!BH7,"")</f>
        <v/>
      </c>
      <c r="BI9" s="31" t="str">
        <f>IFERROR(VLOOKUP(BI5,'[1]M 기준정보'!$B$5:$F$49936,5,0)*생산계획!BI7,"")</f>
        <v/>
      </c>
      <c r="BJ9" s="31" t="str">
        <f>IFERROR(VLOOKUP(BJ5,'[1]M 기준정보'!$B$5:$F$49936,5,0)*생산계획!BJ7,"")</f>
        <v/>
      </c>
      <c r="BK9" s="31" t="str">
        <f>IFERROR(VLOOKUP(BK5,'[1]M 기준정보'!$B$5:$F$49936,5,0)*생산계획!BK7,"")</f>
        <v/>
      </c>
      <c r="BL9" s="31" t="str">
        <f>IFERROR(VLOOKUP(BL5,'[1]M 기준정보'!$B$5:$F$49936,5,0)*생산계획!BL7,"")</f>
        <v/>
      </c>
      <c r="BM9" s="31" t="str">
        <f>IFERROR(VLOOKUP(BM5,'[1]M 기준정보'!$B$5:$F$49936,5,0)*생산계획!BM7,"")</f>
        <v/>
      </c>
      <c r="BN9" s="31" t="str">
        <f>IFERROR(VLOOKUP(BN5,'[1]M 기준정보'!$B$5:$F$49936,5,0)*생산계획!BN7,"")</f>
        <v/>
      </c>
      <c r="BO9" s="31" t="str">
        <f>IFERROR(VLOOKUP(BO5,'[1]M 기준정보'!$B$5:$F$49936,5,0)*생산계획!BO7,"")</f>
        <v/>
      </c>
      <c r="BP9" s="31" t="str">
        <f>IFERROR(VLOOKUP(BP5,'[1]M 기준정보'!$B$5:$F$49936,5,0)*생산계획!BP7,"")</f>
        <v/>
      </c>
      <c r="BQ9" s="31" t="str">
        <f>IFERROR(VLOOKUP(BQ5,'[1]M 기준정보'!$B$5:$F$49936,5,0)*생산계획!BQ7,"")</f>
        <v/>
      </c>
      <c r="BR9" s="31" t="str">
        <f>IFERROR(VLOOKUP(BR5,'[1]M 기준정보'!$B$5:$F$49936,5,0)*생산계획!BR7,"")</f>
        <v/>
      </c>
      <c r="BS9" s="31" t="str">
        <f>IFERROR(VLOOKUP(BS5,'[1]M 기준정보'!$B$5:$F$49936,5,0)*생산계획!BS7,"")</f>
        <v/>
      </c>
      <c r="BT9" s="31" t="str">
        <f>IFERROR(VLOOKUP(BT5,'[1]M 기준정보'!$B$5:$F$49936,5,0)*생산계획!BT7,"")</f>
        <v/>
      </c>
      <c r="BU9" s="31" t="str">
        <f>IFERROR(VLOOKUP(BU5,'[1]M 기준정보'!$B$5:$F$49936,5,0)*생산계획!BU7,"")</f>
        <v/>
      </c>
      <c r="BV9" s="31" t="str">
        <f>IFERROR(VLOOKUP(BV5,'[1]M 기준정보'!$B$5:$F$49936,5,0)*생산계획!BV7,"")</f>
        <v/>
      </c>
      <c r="BW9" s="31" t="str">
        <f>IFERROR(VLOOKUP(BW5,'[1]M 기준정보'!$B$5:$F$49936,5,0)*생산계획!BW7,"")</f>
        <v/>
      </c>
      <c r="BX9" s="31" t="str">
        <f>IFERROR(VLOOKUP(BX5,'[1]M 기준정보'!$B$5:$F$49936,5,0)*생산계획!BX7,"")</f>
        <v/>
      </c>
      <c r="BY9" s="31" t="str">
        <f>IFERROR(VLOOKUP(BY5,'[1]M 기준정보'!$B$5:$F$49936,5,0)*생산계획!BY7,"")</f>
        <v/>
      </c>
      <c r="BZ9" s="31" t="str">
        <f>IFERROR(VLOOKUP(BZ5,'[1]M 기준정보'!$B$5:$F$49936,5,0)*생산계획!BZ7,"")</f>
        <v/>
      </c>
      <c r="CA9" s="31" t="str">
        <f>IFERROR(VLOOKUP(CA5,'[1]M 기준정보'!$B$5:$F$49936,5,0)*생산계획!CA7,"")</f>
        <v/>
      </c>
      <c r="CB9" s="31" t="str">
        <f>IFERROR(VLOOKUP(CB5,'[1]M 기준정보'!$B$5:$F$49936,5,0)*생산계획!CB7,"")</f>
        <v/>
      </c>
      <c r="CC9" s="31" t="str">
        <f>IFERROR(VLOOKUP(CC5,'[1]M 기준정보'!$B$5:$F$49936,5,0)*생산계획!CC7,"")</f>
        <v/>
      </c>
      <c r="CD9" s="31" t="str">
        <f>IFERROR(VLOOKUP(CD5,'[1]M 기준정보'!$B$5:$F$49936,5,0)*생산계획!CD7,"")</f>
        <v/>
      </c>
      <c r="CE9" s="31" t="str">
        <f>IFERROR(VLOOKUP(CE5,'[1]M 기준정보'!$B$5:$F$49936,5,0)*생산계획!CE7,"")</f>
        <v/>
      </c>
      <c r="CF9" s="31" t="str">
        <f>IFERROR(VLOOKUP(CF5,'[1]M 기준정보'!$B$5:$F$49936,5,0)*생산계획!CF7,"")</f>
        <v/>
      </c>
      <c r="CG9" s="31" t="str">
        <f>IFERROR(VLOOKUP(CG5,'[1]M 기준정보'!$B$5:$F$49936,5,0)*생산계획!CG7,"")</f>
        <v/>
      </c>
      <c r="CH9" s="31" t="str">
        <f>IFERROR(VLOOKUP(CH5,'[1]M 기준정보'!$B$5:$F$49936,5,0)*생산계획!CH7,"")</f>
        <v/>
      </c>
      <c r="CI9" s="31" t="str">
        <f>IFERROR(VLOOKUP(CI5,'[1]M 기준정보'!$B$5:$F$49936,5,0)*생산계획!CI7,"")</f>
        <v/>
      </c>
      <c r="CJ9" s="31" t="str">
        <f>IFERROR(VLOOKUP(CJ5,'[1]M 기준정보'!$B$5:$F$49936,5,0)*생산계획!CJ7,"")</f>
        <v/>
      </c>
      <c r="CK9" s="31" t="str">
        <f>IFERROR(VLOOKUP(CK5,'[1]M 기준정보'!$B$5:$F$49936,5,0)*생산계획!CK7,"")</f>
        <v/>
      </c>
      <c r="CL9" s="31" t="str">
        <f>IFERROR(VLOOKUP(CL5,'[1]M 기준정보'!$B$5:$F$49936,5,0)*생산계획!CL7,"")</f>
        <v/>
      </c>
      <c r="CM9" s="31" t="str">
        <f>IFERROR(VLOOKUP(CM5,'[1]M 기준정보'!$B$5:$F$49936,5,0)*생산계획!CM7,"")</f>
        <v/>
      </c>
      <c r="CN9" s="31" t="str">
        <f>IFERROR(VLOOKUP(CN5,'[1]M 기준정보'!$B$5:$F$49936,5,0)*생산계획!CN7,"")</f>
        <v/>
      </c>
      <c r="CO9" s="31" t="str">
        <f>IFERROR(VLOOKUP(CO5,'[1]M 기준정보'!$B$5:$F$49936,5,0)*생산계획!CO7,"")</f>
        <v/>
      </c>
      <c r="CP9" s="31" t="str">
        <f>IFERROR(VLOOKUP(CP5,'[1]M 기준정보'!$B$5:$F$49936,5,0)*생산계획!CP7,"")</f>
        <v/>
      </c>
      <c r="CQ9" s="31" t="str">
        <f>IFERROR(VLOOKUP(CQ5,'[1]M 기준정보'!$B$5:$F$49936,5,0)*생산계획!CQ7,"")</f>
        <v/>
      </c>
      <c r="CR9" s="31" t="str">
        <f>IFERROR(VLOOKUP(CR5,'[1]M 기준정보'!$B$5:$F$49936,5,0)*생산계획!CR7,"")</f>
        <v/>
      </c>
      <c r="CS9" s="31" t="str">
        <f>IFERROR(VLOOKUP(CS5,'[1]M 기준정보'!$B$5:$F$49936,5,0)*생산계획!CS7,"")</f>
        <v/>
      </c>
      <c r="CT9" s="31" t="str">
        <f>IFERROR(VLOOKUP(CT5,'[1]M 기준정보'!$B$5:$F$49936,5,0)*생산계획!CT7,"")</f>
        <v/>
      </c>
      <c r="CU9" s="31" t="str">
        <f>IFERROR(VLOOKUP(CU5,'[1]M 기준정보'!$B$5:$F$49936,5,0)*생산계획!CU7,"")</f>
        <v/>
      </c>
      <c r="CV9" s="31" t="str">
        <f>IFERROR(VLOOKUP(CV5,'[1]M 기준정보'!$B$5:$F$49936,5,0)*생산계획!CV7,"")</f>
        <v/>
      </c>
      <c r="CW9" s="31" t="str">
        <f>IFERROR(VLOOKUP(CW5,'[1]M 기준정보'!$B$5:$F$49936,5,0)*생산계획!CW7,"")</f>
        <v/>
      </c>
      <c r="CX9" s="31" t="str">
        <f>IFERROR(VLOOKUP(CX5,'[1]M 기준정보'!$B$5:$F$49936,5,0)*생산계획!CX7,"")</f>
        <v/>
      </c>
      <c r="CY9" s="31" t="str">
        <f>IFERROR(VLOOKUP(CY5,'[1]M 기준정보'!$B$5:$F$49936,5,0)*생산계획!CY7,"")</f>
        <v/>
      </c>
      <c r="CZ9" s="31" t="str">
        <f>IFERROR(VLOOKUP(CZ5,'[1]M 기준정보'!$B$5:$F$49936,5,0)*생산계획!CZ7,"")</f>
        <v/>
      </c>
      <c r="DA9" s="31" t="str">
        <f>IFERROR(VLOOKUP(DA5,'[1]M 기준정보'!$B$5:$F$49936,5,0)*생산계획!DA7,"")</f>
        <v/>
      </c>
      <c r="DB9" s="31" t="str">
        <f>IFERROR(VLOOKUP(DB5,'[1]M 기준정보'!$B$5:$F$49936,5,0)*생산계획!DB7,"")</f>
        <v/>
      </c>
      <c r="DC9" s="31" t="str">
        <f>IFERROR(VLOOKUP(DC5,'[1]M 기준정보'!$B$5:$F$49936,5,0)*생산계획!DC7,"")</f>
        <v/>
      </c>
      <c r="DD9" s="31" t="str">
        <f>IFERROR(VLOOKUP(DD5,'[1]M 기준정보'!$B$5:$F$49936,5,0)*생산계획!DD7,"")</f>
        <v/>
      </c>
      <c r="DE9" s="31" t="str">
        <f>IFERROR(VLOOKUP(DE5,'[1]M 기준정보'!$B$5:$F$49936,5,0)*생산계획!DE7,"")</f>
        <v/>
      </c>
      <c r="DF9" s="31" t="str">
        <f>IFERROR(VLOOKUP(DF5,'[1]M 기준정보'!$B$5:$F$49936,5,0)*생산계획!DF7,"")</f>
        <v/>
      </c>
      <c r="DG9" s="31" t="str">
        <f>IFERROR(VLOOKUP(DG5,'[1]M 기준정보'!$B$5:$F$49936,5,0)*생산계획!DG7,"")</f>
        <v/>
      </c>
      <c r="DH9" s="31" t="str">
        <f>IFERROR(VLOOKUP(DH5,'[1]M 기준정보'!$B$5:$F$49936,5,0)*생산계획!DH7,"")</f>
        <v/>
      </c>
      <c r="DI9" s="31" t="str">
        <f>IFERROR(VLOOKUP(DI5,'[1]M 기준정보'!$B$5:$F$49936,5,0)*생산계획!DI7,"")</f>
        <v/>
      </c>
      <c r="DJ9" s="31" t="str">
        <f>IFERROR(VLOOKUP(DJ5,'[1]M 기준정보'!$B$5:$F$49936,5,0)*생산계획!DJ7,"")</f>
        <v/>
      </c>
      <c r="DK9" s="31" t="str">
        <f>IFERROR(VLOOKUP(DK5,'[1]M 기준정보'!$B$5:$F$49936,5,0)*생산계획!DK7,"")</f>
        <v/>
      </c>
      <c r="DL9" s="31" t="str">
        <f>IFERROR(VLOOKUP(DL5,'[1]M 기준정보'!$B$5:$F$49936,5,0)*생산계획!DL7,"")</f>
        <v/>
      </c>
      <c r="DM9" s="31" t="str">
        <f>IFERROR(VLOOKUP(DM5,'[1]M 기준정보'!$B$5:$F$49936,5,0)*생산계획!DM7,"")</f>
        <v/>
      </c>
      <c r="DN9" s="31" t="str">
        <f>IFERROR(VLOOKUP(DN5,'[1]M 기준정보'!$B$5:$F$49936,5,0)*생산계획!DN7,"")</f>
        <v/>
      </c>
      <c r="DO9" s="31" t="str">
        <f>IFERROR(VLOOKUP(DO5,'[1]M 기준정보'!$B$5:$F$49936,5,0)*생산계획!DO7,"")</f>
        <v/>
      </c>
      <c r="DP9" s="31" t="str">
        <f>IFERROR(VLOOKUP(DP5,'[1]M 기준정보'!$B$5:$F$49936,5,0)*생산계획!DP7,"")</f>
        <v/>
      </c>
      <c r="DQ9" s="31" t="str">
        <f>IFERROR(VLOOKUP(DQ5,'[1]M 기준정보'!$B$5:$F$49936,5,0)*생산계획!DQ7,"")</f>
        <v/>
      </c>
      <c r="DR9" s="31" t="str">
        <f>IFERROR(VLOOKUP(DR5,'[1]M 기준정보'!$B$5:$F$49936,5,0)*생산계획!DR7,"")</f>
        <v/>
      </c>
      <c r="DS9" s="31" t="str">
        <f>IFERROR(VLOOKUP(DS5,'[1]M 기준정보'!$B$5:$F$49936,5,0)*생산계획!DS7,"")</f>
        <v/>
      </c>
      <c r="DT9" s="31" t="str">
        <f>IFERROR(VLOOKUP(DT5,'[1]M 기준정보'!$B$5:$F$49936,5,0)*생산계획!DT7,"")</f>
        <v/>
      </c>
      <c r="DU9" s="31" t="str">
        <f>IFERROR(VLOOKUP(DU5,'[1]M 기준정보'!$B$5:$F$49936,5,0)*생산계획!DU7,"")</f>
        <v/>
      </c>
      <c r="DV9" s="31" t="str">
        <f>IFERROR(VLOOKUP(DV5,'[1]M 기준정보'!$B$5:$F$49936,5,0)*생산계획!DV7,"")</f>
        <v/>
      </c>
      <c r="DW9" s="31" t="str">
        <f>IFERROR(VLOOKUP(DW5,'[1]M 기준정보'!$B$5:$F$49936,5,0)*생산계획!DW7,"")</f>
        <v/>
      </c>
      <c r="DX9" s="31" t="str">
        <f>IFERROR(VLOOKUP(DX5,'[1]M 기준정보'!$B$5:$F$49936,5,0)*생산계획!DX7,"")</f>
        <v/>
      </c>
      <c r="DY9" s="31" t="str">
        <f>IFERROR(VLOOKUP(DY5,'[1]M 기준정보'!$B$5:$F$49936,5,0)*생산계획!DY7,"")</f>
        <v/>
      </c>
      <c r="DZ9" s="31" t="str">
        <f>IFERROR(VLOOKUP(DZ5,'[1]M 기준정보'!$B$5:$F$49936,5,0)*생산계획!DZ7,"")</f>
        <v/>
      </c>
      <c r="EA9" s="31" t="str">
        <f>IFERROR(VLOOKUP(EA5,'[1]M 기준정보'!$B$5:$F$49936,5,0)*생산계획!EA7,"")</f>
        <v/>
      </c>
      <c r="EB9" s="31" t="str">
        <f>IFERROR(VLOOKUP(EB5,'[1]M 기준정보'!$B$5:$F$49936,5,0)*생산계획!EB7,"")</f>
        <v/>
      </c>
      <c r="EC9" s="31" t="str">
        <f>IFERROR(VLOOKUP(EC5,'[1]M 기준정보'!$B$5:$F$49936,5,0)*생산계획!EC7,"")</f>
        <v/>
      </c>
      <c r="ED9" s="31" t="str">
        <f>IFERROR(VLOOKUP(ED5,'[1]M 기준정보'!$B$5:$F$49936,5,0)*생산계획!ED7,"")</f>
        <v/>
      </c>
      <c r="EE9" s="31" t="str">
        <f>IFERROR(VLOOKUP(EE5,'[1]M 기준정보'!$B$5:$F$49936,5,0)*생산계획!EE7,"")</f>
        <v/>
      </c>
      <c r="EF9" s="31" t="str">
        <f>IFERROR(VLOOKUP(EF5,'[1]M 기준정보'!$B$5:$F$49936,5,0)*생산계획!EF7,"")</f>
        <v/>
      </c>
    </row>
    <row r="10" spans="1:136" ht="20.25" customHeight="1" x14ac:dyDescent="0.3">
      <c r="A10" s="22"/>
      <c r="B10" s="14" t="s">
        <v>15</v>
      </c>
      <c r="C10" s="32" t="s">
        <v>34</v>
      </c>
      <c r="D10" s="19" t="s">
        <v>35</v>
      </c>
      <c r="E10" s="16"/>
      <c r="F10" s="33" t="s">
        <v>36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34" t="s">
        <v>37</v>
      </c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</row>
    <row r="11" spans="1:136" ht="20.25" customHeight="1" x14ac:dyDescent="0.3">
      <c r="A11" s="22"/>
      <c r="B11" s="23" t="s">
        <v>23</v>
      </c>
      <c r="C11" s="24" t="str">
        <f>IFERROR(VLOOKUP(C10,'[1]M 기준정보'!$B$5:$C$49936,2,0),"")</f>
        <v>LEO2.0 MONITOR FRU</v>
      </c>
      <c r="D11" s="24" t="str">
        <f>IFERROR(VLOOKUP(D10,'[1]M 기준정보'!$B$5:$C$49936,2,0),"")</f>
        <v>AM-1115 BLACK SK향(구형 F/W)</v>
      </c>
      <c r="E11" s="24" t="str">
        <f>IFERROR(VLOOKUP(E10,'[1]M 기준정보'!$B$5:$C$49936,2,0),"")</f>
        <v/>
      </c>
      <c r="F11" s="24" t="str">
        <f>IFERROR(VLOOKUP(F10,'[1]M 기준정보'!$B$5:$C$49936,2,0),"")</f>
        <v>EPS7133 스타벅스 벽걸이用</v>
      </c>
      <c r="G11" s="24" t="str">
        <f>IFERROR(VLOOKUP(G10,'[1]M 기준정보'!$B$5:$C$49936,2,0),"")</f>
        <v/>
      </c>
      <c r="H11" s="24" t="str">
        <f>IFERROR(VLOOKUP(H10,'[1]M 기준정보'!$B$5:$C$49936,2,0),"")</f>
        <v/>
      </c>
      <c r="I11" s="24" t="str">
        <f>IFERROR(VLOOKUP(I10,'[1]M 기준정보'!$B$5:$C$49936,2,0),"")</f>
        <v/>
      </c>
      <c r="J11" s="24" t="str">
        <f>IFERROR(VLOOKUP(J10,'[1]M 기준정보'!$B$5:$C$49936,2,0),"")</f>
        <v/>
      </c>
      <c r="K11" s="24" t="str">
        <f>IFERROR(VLOOKUP(K10,'[1]M 기준정보'!$B$5:$C$49936,2,0),"")</f>
        <v/>
      </c>
      <c r="L11" s="24" t="str">
        <f>IFERROR(VLOOKUP(L10,'[1]M 기준정보'!$B$5:$C$49936,2,0),"")</f>
        <v/>
      </c>
      <c r="M11" s="24" t="str">
        <f>IFERROR(VLOOKUP(M10,'[1]M 기준정보'!$B$5:$C$49936,2,0),"")</f>
        <v/>
      </c>
      <c r="N11" s="24" t="str">
        <f>IFERROR(VLOOKUP(N10,'[1]M 기준정보'!$B$5:$C$49936,2,0),"")</f>
        <v/>
      </c>
      <c r="O11" s="24" t="str">
        <f>IFERROR(VLOOKUP(O10,'[1]M 기준정보'!$B$5:$C$49936,2,0),"")</f>
        <v/>
      </c>
      <c r="P11" s="24" t="str">
        <f>IFERROR(VLOOKUP(P10,'[1]M 기준정보'!$B$5:$C$49936,2,0),"")</f>
        <v/>
      </c>
      <c r="Q11" s="24" t="str">
        <f>IFERROR(VLOOKUP(Q10,'[1]M 기준정보'!$B$5:$C$49936,2,0),"")</f>
        <v/>
      </c>
      <c r="R11" s="24" t="str">
        <f>IFERROR(VLOOKUP(R10,'[1]M 기준정보'!$B$5:$C$49936,2,0),"")</f>
        <v/>
      </c>
      <c r="S11" s="24" t="str">
        <f>IFERROR(VLOOKUP(S10,'[1]M 기준정보'!$B$5:$C$49936,2,0),"")</f>
        <v/>
      </c>
      <c r="T11" s="24" t="str">
        <f>IFERROR(VLOOKUP(T10,'[1]M 기준정보'!$B$5:$C$49936,2,0),"")</f>
        <v>T6150F 도시바향 (섹션) DP</v>
      </c>
      <c r="U11" s="24" t="str">
        <f>IFERROR(VLOOKUP(U10,'[1]M 기준정보'!$B$5:$C$49936,2,0),"")</f>
        <v/>
      </c>
      <c r="V11" s="24" t="str">
        <f>IFERROR(VLOOKUP(V10,'[1]M 기준정보'!$B$5:$C$49936,2,0),"")</f>
        <v/>
      </c>
      <c r="W11" s="24" t="str">
        <f>IFERROR(VLOOKUP(W10,'[1]M 기준정보'!$B$5:$C$49936,2,0),"")</f>
        <v/>
      </c>
      <c r="X11" s="24" t="str">
        <f>IFERROR(VLOOKUP(X10,'[1]M 기준정보'!$B$5:$C$49936,2,0),"")</f>
        <v/>
      </c>
      <c r="Y11" s="24" t="str">
        <f>IFERROR(VLOOKUP(Y10,'[1]M 기준정보'!$B$5:$C$49936,2,0),"")</f>
        <v/>
      </c>
      <c r="Z11" s="24" t="str">
        <f>IFERROR(VLOOKUP(Z10,'[1]M 기준정보'!$B$5:$C$49936,2,0),"")</f>
        <v/>
      </c>
      <c r="AA11" s="24" t="str">
        <f>IFERROR(VLOOKUP(AA10,'[1]M 기준정보'!$B$5:$C$49936,2,0),"")</f>
        <v/>
      </c>
      <c r="AB11" s="24" t="str">
        <f>IFERROR(VLOOKUP(AB10,'[1]M 기준정보'!$B$5:$C$49936,2,0),"")</f>
        <v/>
      </c>
      <c r="AC11" s="24" t="str">
        <f>IFERROR(VLOOKUP(AC10,'[1]M 기준정보'!$B$5:$C$49936,2,0),"")</f>
        <v/>
      </c>
      <c r="AD11" s="24" t="str">
        <f>IFERROR(VLOOKUP(AD10,'[1]M 기준정보'!$B$5:$C$49936,2,0),"")</f>
        <v/>
      </c>
      <c r="AE11" s="24" t="str">
        <f>IFERROR(VLOOKUP(AE10,'[1]M 기준정보'!$B$5:$C$49936,2,0),"")</f>
        <v/>
      </c>
      <c r="AF11" s="24" t="str">
        <f>IFERROR(VLOOKUP(AF10,'[1]M 기준정보'!$B$5:$C$49936,2,0),"")</f>
        <v/>
      </c>
      <c r="AG11" s="24" t="str">
        <f>IFERROR(VLOOKUP(AG10,'[1]M 기준정보'!$B$5:$C$49936,2,0),"")</f>
        <v/>
      </c>
      <c r="AH11" s="24" t="str">
        <f>IFERROR(VLOOKUP(AH10,'[1]M 기준정보'!$B$5:$C$49936,2,0),"")</f>
        <v/>
      </c>
      <c r="AI11" s="24" t="str">
        <f>IFERROR(VLOOKUP(AI10,'[1]M 기준정보'!$B$5:$C$49936,2,0),"")</f>
        <v/>
      </c>
      <c r="AJ11" s="24" t="str">
        <f>IFERROR(VLOOKUP(AJ10,'[1]M 기준정보'!$B$5:$C$49936,2,0),"")</f>
        <v/>
      </c>
      <c r="AK11" s="24" t="str">
        <f>IFERROR(VLOOKUP(AK10,'[1]M 기준정보'!$B$5:$C$49936,2,0),"")</f>
        <v/>
      </c>
      <c r="AL11" s="24" t="str">
        <f>IFERROR(VLOOKUP(AL10,'[1]M 기준정보'!$B$5:$C$49936,2,0),"")</f>
        <v/>
      </c>
      <c r="AM11" s="24" t="str">
        <f>IFERROR(VLOOKUP(AM10,'[1]M 기준정보'!$B$5:$C$49936,2,0),"")</f>
        <v/>
      </c>
      <c r="AN11" s="24" t="str">
        <f>IFERROR(VLOOKUP(AN10,'[1]M 기준정보'!$B$5:$C$49936,2,0),"")</f>
        <v/>
      </c>
      <c r="AO11" s="24" t="str">
        <f>IFERROR(VLOOKUP(AO10,'[1]M 기준정보'!$B$5:$C$49936,2,0),"")</f>
        <v/>
      </c>
      <c r="AP11" s="24" t="str">
        <f>IFERROR(VLOOKUP(AP10,'[1]M 기준정보'!$B$5:$C$49936,2,0),"")</f>
        <v/>
      </c>
      <c r="AQ11" s="24" t="str">
        <f>IFERROR(VLOOKUP(AQ10,'[1]M 기준정보'!$B$5:$C$49936,2,0),"")</f>
        <v/>
      </c>
      <c r="AR11" s="24" t="str">
        <f>IFERROR(VLOOKUP(AR10,'[1]M 기준정보'!$B$5:$C$49936,2,0),"")</f>
        <v/>
      </c>
      <c r="AS11" s="24" t="str">
        <f>IFERROR(VLOOKUP(AS10,'[1]M 기준정보'!$B$5:$C$49936,2,0),"")</f>
        <v/>
      </c>
      <c r="AT11" s="24" t="str">
        <f>IFERROR(VLOOKUP(AT10,'[1]M 기준정보'!$B$5:$C$49936,2,0),"")</f>
        <v/>
      </c>
      <c r="AU11" s="24" t="str">
        <f>IFERROR(VLOOKUP(AU10,'[1]M 기준정보'!$B$5:$C$49936,2,0),"")</f>
        <v/>
      </c>
      <c r="AV11" s="24" t="str">
        <f>IFERROR(VLOOKUP(AV10,'[1]M 기준정보'!$B$5:$C$49936,2,0),"")</f>
        <v/>
      </c>
      <c r="AW11" s="24" t="str">
        <f>IFERROR(VLOOKUP(AW10,'[1]M 기준정보'!$B$5:$C$49936,2,0),"")</f>
        <v/>
      </c>
      <c r="AX11" s="24" t="str">
        <f>IFERROR(VLOOKUP(AX10,'[1]M 기준정보'!$B$5:$C$49936,2,0),"")</f>
        <v/>
      </c>
      <c r="AY11" s="24" t="str">
        <f>IFERROR(VLOOKUP(AY10,'[1]M 기준정보'!$B$5:$C$49936,2,0),"")</f>
        <v/>
      </c>
      <c r="AZ11" s="24" t="str">
        <f>IFERROR(VLOOKUP(AZ10,'[1]M 기준정보'!$B$5:$C$49936,2,0),"")</f>
        <v/>
      </c>
      <c r="BA11" s="24" t="str">
        <f>IFERROR(VLOOKUP(BA10,'[1]M 기준정보'!$B$5:$C$49936,2,0),"")</f>
        <v/>
      </c>
      <c r="BB11" s="24" t="str">
        <f>IFERROR(VLOOKUP(BB10,'[1]M 기준정보'!$B$5:$C$49936,2,0),"")</f>
        <v/>
      </c>
      <c r="BC11" s="24" t="str">
        <f>IFERROR(VLOOKUP(BC10,'[1]M 기준정보'!$B$5:$C$49936,2,0),"")</f>
        <v/>
      </c>
      <c r="BD11" s="24" t="str">
        <f>IFERROR(VLOOKUP(BD10,'[1]M 기준정보'!$B$5:$C$49936,2,0),"")</f>
        <v/>
      </c>
      <c r="BE11" s="24" t="str">
        <f>IFERROR(VLOOKUP(BE10,'[1]M 기준정보'!$B$5:$C$49936,2,0),"")</f>
        <v/>
      </c>
      <c r="BF11" s="24" t="str">
        <f>IFERROR(VLOOKUP(BF10,'[1]M 기준정보'!$B$5:$C$49936,2,0),"")</f>
        <v/>
      </c>
      <c r="BG11" s="24" t="str">
        <f>IFERROR(VLOOKUP(BG10,'[1]M 기준정보'!$B$5:$C$49936,2,0),"")</f>
        <v/>
      </c>
      <c r="BH11" s="24" t="str">
        <f>IFERROR(VLOOKUP(BH10,'[1]M 기준정보'!$B$5:$C$49936,2,0),"")</f>
        <v/>
      </c>
      <c r="BI11" s="24" t="str">
        <f>IFERROR(VLOOKUP(BI10,'[1]M 기준정보'!$B$5:$C$49936,2,0),"")</f>
        <v/>
      </c>
      <c r="BJ11" s="24" t="str">
        <f>IFERROR(VLOOKUP(BJ10,'[1]M 기준정보'!$B$5:$C$49936,2,0),"")</f>
        <v/>
      </c>
      <c r="BK11" s="24" t="str">
        <f>IFERROR(VLOOKUP(BK10,'[1]M 기준정보'!$B$5:$C$49936,2,0),"")</f>
        <v/>
      </c>
      <c r="BL11" s="24" t="str">
        <f>IFERROR(VLOOKUP(BL10,'[1]M 기준정보'!$B$5:$C$49936,2,0),"")</f>
        <v/>
      </c>
      <c r="BM11" s="24" t="str">
        <f>IFERROR(VLOOKUP(BM10,'[1]M 기준정보'!$B$5:$C$49936,2,0),"")</f>
        <v/>
      </c>
      <c r="BN11" s="24" t="str">
        <f>IFERROR(VLOOKUP(BN10,'[1]M 기준정보'!$B$5:$C$49936,2,0),"")</f>
        <v/>
      </c>
      <c r="BO11" s="24" t="str">
        <f>IFERROR(VLOOKUP(BO10,'[1]M 기준정보'!$B$5:$C$49936,2,0),"")</f>
        <v/>
      </c>
      <c r="BP11" s="24" t="str">
        <f>IFERROR(VLOOKUP(BP10,'[1]M 기준정보'!$B$5:$C$49936,2,0),"")</f>
        <v/>
      </c>
      <c r="BQ11" s="24" t="str">
        <f>IFERROR(VLOOKUP(BQ10,'[1]M 기준정보'!$B$5:$C$49936,2,0),"")</f>
        <v/>
      </c>
      <c r="BR11" s="24" t="str">
        <f>IFERROR(VLOOKUP(BR10,'[1]M 기준정보'!$B$5:$C$49936,2,0),"")</f>
        <v/>
      </c>
      <c r="BS11" s="24" t="str">
        <f>IFERROR(VLOOKUP(BS10,'[1]M 기준정보'!$B$5:$C$49936,2,0),"")</f>
        <v/>
      </c>
      <c r="BT11" s="24" t="str">
        <f>IFERROR(VLOOKUP(BT10,'[1]M 기준정보'!$B$5:$C$49936,2,0),"")</f>
        <v/>
      </c>
      <c r="BU11" s="24" t="str">
        <f>IFERROR(VLOOKUP(BU10,'[1]M 기준정보'!$B$5:$C$49936,2,0),"")</f>
        <v/>
      </c>
      <c r="BV11" s="24" t="str">
        <f>IFERROR(VLOOKUP(BV10,'[1]M 기준정보'!$B$5:$C$49936,2,0),"")</f>
        <v/>
      </c>
      <c r="BW11" s="24" t="str">
        <f>IFERROR(VLOOKUP(BW10,'[1]M 기준정보'!$B$5:$C$49936,2,0),"")</f>
        <v/>
      </c>
      <c r="BX11" s="24" t="str">
        <f>IFERROR(VLOOKUP(BX10,'[1]M 기준정보'!$B$5:$C$49936,2,0),"")</f>
        <v/>
      </c>
      <c r="BY11" s="24" t="str">
        <f>IFERROR(VLOOKUP(BY10,'[1]M 기준정보'!$B$5:$C$49936,2,0),"")</f>
        <v/>
      </c>
      <c r="BZ11" s="24" t="str">
        <f>IFERROR(VLOOKUP(BZ10,'[1]M 기준정보'!$B$5:$C$49936,2,0),"")</f>
        <v/>
      </c>
      <c r="CA11" s="24" t="str">
        <f>IFERROR(VLOOKUP(CA10,'[1]M 기준정보'!$B$5:$C$49936,2,0),"")</f>
        <v/>
      </c>
      <c r="CB11" s="24" t="str">
        <f>IFERROR(VLOOKUP(CB10,'[1]M 기준정보'!$B$5:$C$49936,2,0),"")</f>
        <v/>
      </c>
      <c r="CC11" s="24" t="str">
        <f>IFERROR(VLOOKUP(CC10,'[1]M 기준정보'!$B$5:$C$49936,2,0),"")</f>
        <v/>
      </c>
      <c r="CD11" s="24" t="str">
        <f>IFERROR(VLOOKUP(CD10,'[1]M 기준정보'!$B$5:$C$49936,2,0),"")</f>
        <v/>
      </c>
      <c r="CE11" s="24" t="str">
        <f>IFERROR(VLOOKUP(CE10,'[1]M 기준정보'!$B$5:$C$49936,2,0),"")</f>
        <v/>
      </c>
      <c r="CF11" s="24" t="str">
        <f>IFERROR(VLOOKUP(CF10,'[1]M 기준정보'!$B$5:$C$49936,2,0),"")</f>
        <v/>
      </c>
      <c r="CG11" s="24" t="str">
        <f>IFERROR(VLOOKUP(CG10,'[1]M 기준정보'!$B$5:$C$49936,2,0),"")</f>
        <v/>
      </c>
      <c r="CH11" s="24" t="str">
        <f>IFERROR(VLOOKUP(CH10,'[1]M 기준정보'!$B$5:$C$49936,2,0),"")</f>
        <v/>
      </c>
      <c r="CI11" s="24" t="str">
        <f>IFERROR(VLOOKUP(CI10,'[1]M 기준정보'!$B$5:$C$49936,2,0),"")</f>
        <v/>
      </c>
      <c r="CJ11" s="24" t="str">
        <f>IFERROR(VLOOKUP(CJ10,'[1]M 기준정보'!$B$5:$C$49936,2,0),"")</f>
        <v/>
      </c>
      <c r="CK11" s="24" t="str">
        <f>IFERROR(VLOOKUP(CK10,'[1]M 기준정보'!$B$5:$C$49936,2,0),"")</f>
        <v/>
      </c>
      <c r="CL11" s="24" t="str">
        <f>IFERROR(VLOOKUP(CL10,'[1]M 기준정보'!$B$5:$C$49936,2,0),"")</f>
        <v/>
      </c>
      <c r="CM11" s="24" t="str">
        <f>IFERROR(VLOOKUP(CM10,'[1]M 기준정보'!$B$5:$C$49936,2,0),"")</f>
        <v/>
      </c>
      <c r="CN11" s="24" t="str">
        <f>IFERROR(VLOOKUP(CN10,'[1]M 기준정보'!$B$5:$C$49936,2,0),"")</f>
        <v/>
      </c>
      <c r="CO11" s="24" t="str">
        <f>IFERROR(VLOOKUP(CO10,'[1]M 기준정보'!$B$5:$C$49936,2,0),"")</f>
        <v/>
      </c>
      <c r="CP11" s="24" t="str">
        <f>IFERROR(VLOOKUP(CP10,'[1]M 기준정보'!$B$5:$C$49936,2,0),"")</f>
        <v/>
      </c>
      <c r="CQ11" s="24" t="str">
        <f>IFERROR(VLOOKUP(CQ10,'[1]M 기준정보'!$B$5:$C$49936,2,0),"")</f>
        <v/>
      </c>
      <c r="CR11" s="24" t="str">
        <f>IFERROR(VLOOKUP(CR10,'[1]M 기준정보'!$B$5:$C$49936,2,0),"")</f>
        <v/>
      </c>
      <c r="CS11" s="24" t="str">
        <f>IFERROR(VLOOKUP(CS10,'[1]M 기준정보'!$B$5:$C$49936,2,0),"")</f>
        <v/>
      </c>
      <c r="CT11" s="24" t="str">
        <f>IFERROR(VLOOKUP(CT10,'[1]M 기준정보'!$B$5:$C$49936,2,0),"")</f>
        <v/>
      </c>
      <c r="CU11" s="24" t="str">
        <f>IFERROR(VLOOKUP(CU10,'[1]M 기준정보'!$B$5:$C$49936,2,0),"")</f>
        <v/>
      </c>
      <c r="CV11" s="24" t="str">
        <f>IFERROR(VLOOKUP(CV10,'[1]M 기준정보'!$B$5:$C$49936,2,0),"")</f>
        <v/>
      </c>
      <c r="CW11" s="24" t="str">
        <f>IFERROR(VLOOKUP(CW10,'[1]M 기준정보'!$B$5:$C$49936,2,0),"")</f>
        <v/>
      </c>
      <c r="CX11" s="24" t="str">
        <f>IFERROR(VLOOKUP(CX10,'[1]M 기준정보'!$B$5:$C$49936,2,0),"")</f>
        <v/>
      </c>
      <c r="CY11" s="24" t="str">
        <f>IFERROR(VLOOKUP(CY10,'[1]M 기준정보'!$B$5:$C$49936,2,0),"")</f>
        <v/>
      </c>
      <c r="CZ11" s="24" t="str">
        <f>IFERROR(VLOOKUP(CZ10,'[1]M 기준정보'!$B$5:$C$49936,2,0),"")</f>
        <v/>
      </c>
      <c r="DA11" s="24" t="str">
        <f>IFERROR(VLOOKUP(DA10,'[1]M 기준정보'!$B$5:$C$49936,2,0),"")</f>
        <v/>
      </c>
      <c r="DB11" s="24" t="str">
        <f>IFERROR(VLOOKUP(DB10,'[1]M 기준정보'!$B$5:$C$49936,2,0),"")</f>
        <v/>
      </c>
      <c r="DC11" s="24" t="str">
        <f>IFERROR(VLOOKUP(DC10,'[1]M 기준정보'!$B$5:$C$49936,2,0),"")</f>
        <v/>
      </c>
      <c r="DD11" s="24" t="str">
        <f>IFERROR(VLOOKUP(DD10,'[1]M 기준정보'!$B$5:$C$49936,2,0),"")</f>
        <v/>
      </c>
      <c r="DE11" s="24" t="str">
        <f>IFERROR(VLOOKUP(DE10,'[1]M 기준정보'!$B$5:$C$49936,2,0),"")</f>
        <v/>
      </c>
      <c r="DF11" s="24" t="str">
        <f>IFERROR(VLOOKUP(DF10,'[1]M 기준정보'!$B$5:$C$49936,2,0),"")</f>
        <v/>
      </c>
      <c r="DG11" s="24" t="str">
        <f>IFERROR(VLOOKUP(DG10,'[1]M 기준정보'!$B$5:$C$49936,2,0),"")</f>
        <v/>
      </c>
      <c r="DH11" s="24" t="str">
        <f>IFERROR(VLOOKUP(DH10,'[1]M 기준정보'!$B$5:$C$49936,2,0),"")</f>
        <v/>
      </c>
      <c r="DI11" s="24" t="str">
        <f>IFERROR(VLOOKUP(DI10,'[1]M 기준정보'!$B$5:$C$49936,2,0),"")</f>
        <v/>
      </c>
      <c r="DJ11" s="24" t="str">
        <f>IFERROR(VLOOKUP(DJ10,'[1]M 기준정보'!$B$5:$C$49936,2,0),"")</f>
        <v/>
      </c>
      <c r="DK11" s="24" t="str">
        <f>IFERROR(VLOOKUP(DK10,'[1]M 기준정보'!$B$5:$C$49936,2,0),"")</f>
        <v/>
      </c>
      <c r="DL11" s="24" t="str">
        <f>IFERROR(VLOOKUP(DL10,'[1]M 기준정보'!$B$5:$C$49936,2,0),"")</f>
        <v/>
      </c>
      <c r="DM11" s="24" t="str">
        <f>IFERROR(VLOOKUP(DM10,'[1]M 기준정보'!$B$5:$C$49936,2,0),"")</f>
        <v/>
      </c>
      <c r="DN11" s="24" t="str">
        <f>IFERROR(VLOOKUP(DN10,'[1]M 기준정보'!$B$5:$C$49936,2,0),"")</f>
        <v/>
      </c>
      <c r="DO11" s="24" t="str">
        <f>IFERROR(VLOOKUP(DO10,'[1]M 기준정보'!$B$5:$C$49936,2,0),"")</f>
        <v/>
      </c>
      <c r="DP11" s="24" t="str">
        <f>IFERROR(VLOOKUP(DP10,'[1]M 기준정보'!$B$5:$C$49936,2,0),"")</f>
        <v/>
      </c>
      <c r="DQ11" s="24" t="str">
        <f>IFERROR(VLOOKUP(DQ10,'[1]M 기준정보'!$B$5:$C$49936,2,0),"")</f>
        <v/>
      </c>
      <c r="DR11" s="24" t="str">
        <f>IFERROR(VLOOKUP(DR10,'[1]M 기준정보'!$B$5:$C$49936,2,0),"")</f>
        <v/>
      </c>
      <c r="DS11" s="24" t="str">
        <f>IFERROR(VLOOKUP(DS10,'[1]M 기준정보'!$B$5:$C$49936,2,0),"")</f>
        <v/>
      </c>
      <c r="DT11" s="24" t="str">
        <f>IFERROR(VLOOKUP(DT10,'[1]M 기준정보'!$B$5:$C$49936,2,0),"")</f>
        <v/>
      </c>
      <c r="DU11" s="24" t="str">
        <f>IFERROR(VLOOKUP(DU10,'[1]M 기준정보'!$B$5:$C$49936,2,0),"")</f>
        <v/>
      </c>
      <c r="DV11" s="24" t="str">
        <f>IFERROR(VLOOKUP(DV10,'[1]M 기준정보'!$B$5:$C$49936,2,0),"")</f>
        <v/>
      </c>
      <c r="DW11" s="24" t="str">
        <f>IFERROR(VLOOKUP(DW10,'[1]M 기준정보'!$B$5:$C$49936,2,0),"")</f>
        <v/>
      </c>
      <c r="DX11" s="24" t="str">
        <f>IFERROR(VLOOKUP(DX10,'[1]M 기준정보'!$B$5:$C$49936,2,0),"")</f>
        <v/>
      </c>
      <c r="DY11" s="24" t="str">
        <f>IFERROR(VLOOKUP(DY10,'[1]M 기준정보'!$B$5:$C$49936,2,0),"")</f>
        <v/>
      </c>
      <c r="DZ11" s="24" t="str">
        <f>IFERROR(VLOOKUP(DZ10,'[1]M 기준정보'!$B$5:$C$49936,2,0),"")</f>
        <v/>
      </c>
      <c r="EA11" s="24" t="str">
        <f>IFERROR(VLOOKUP(EA10,'[1]M 기준정보'!$B$5:$C$49936,2,0),"")</f>
        <v/>
      </c>
      <c r="EB11" s="24" t="str">
        <f>IFERROR(VLOOKUP(EB10,'[1]M 기준정보'!$B$5:$C$49936,2,0),"")</f>
        <v/>
      </c>
      <c r="EC11" s="24" t="str">
        <f>IFERROR(VLOOKUP(EC10,'[1]M 기준정보'!$B$5:$C$49936,2,0),"")</f>
        <v/>
      </c>
      <c r="ED11" s="24" t="str">
        <f>IFERROR(VLOOKUP(ED10,'[1]M 기준정보'!$B$5:$C$49936,2,0),"")</f>
        <v/>
      </c>
      <c r="EE11" s="24" t="str">
        <f>IFERROR(VLOOKUP(EE10,'[1]M 기준정보'!$B$5:$C$49936,2,0),"")</f>
        <v/>
      </c>
      <c r="EF11" s="24" t="str">
        <f>IFERROR(VLOOKUP(EF10,'[1]M 기준정보'!$B$5:$C$49936,2,0),"")</f>
        <v/>
      </c>
    </row>
    <row r="12" spans="1:136" ht="20.25" customHeight="1" x14ac:dyDescent="0.3">
      <c r="A12" s="22"/>
      <c r="B12" s="25" t="s">
        <v>24</v>
      </c>
      <c r="C12" s="26">
        <v>3</v>
      </c>
      <c r="D12" s="26">
        <v>8</v>
      </c>
      <c r="E12" s="26"/>
      <c r="F12" s="26">
        <v>3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>
        <v>5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</row>
    <row r="13" spans="1:136" ht="20.25" customHeight="1" thickBot="1" x14ac:dyDescent="0.35">
      <c r="A13" s="22"/>
      <c r="B13" s="27" t="s">
        <v>25</v>
      </c>
      <c r="C13" s="28" t="s">
        <v>38</v>
      </c>
      <c r="D13" s="28" t="s">
        <v>39</v>
      </c>
      <c r="E13" s="29"/>
      <c r="F13" s="28" t="s">
        <v>40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8" t="s">
        <v>41</v>
      </c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</row>
    <row r="14" spans="1:136" ht="17.25" hidden="1" customHeight="1" thickBot="1" x14ac:dyDescent="0.35">
      <c r="A14" s="22"/>
      <c r="B14" s="30" t="s">
        <v>33</v>
      </c>
      <c r="C14" s="31">
        <f>IFERROR(VLOOKUP(C10,'[1]M 기준정보'!$B$5:$F$49936,5,0)*생산계획!C12,"")</f>
        <v>1.62</v>
      </c>
      <c r="D14" s="31">
        <f>IFERROR(VLOOKUP(D10,'[1]M 기준정보'!$B$5:$F$49936,5,0)*생산계획!D12,"")</f>
        <v>3.84</v>
      </c>
      <c r="E14" s="31" t="str">
        <f>IFERROR(VLOOKUP(E10,'[1]M 기준정보'!$B$5:$F$49936,5,0)*생산계획!E12,"")</f>
        <v/>
      </c>
      <c r="F14" s="31">
        <f>IFERROR(VLOOKUP(F10,'[1]M 기준정보'!$B$5:$F$49936,5,0)*생산계획!F12,"")</f>
        <v>2.0999999999999996</v>
      </c>
      <c r="G14" s="31" t="str">
        <f>IFERROR(VLOOKUP(G10,'[1]M 기준정보'!$B$5:$F$49936,5,0)*생산계획!G12,"")</f>
        <v/>
      </c>
      <c r="H14" s="31" t="str">
        <f>IFERROR(VLOOKUP(H10,'[1]M 기준정보'!$B$5:$F$49936,5,0)*생산계획!H12,"")</f>
        <v/>
      </c>
      <c r="I14" s="31" t="str">
        <f>IFERROR(VLOOKUP(I10,'[1]M 기준정보'!$B$5:$F$49936,5,0)*생산계획!I12,"")</f>
        <v/>
      </c>
      <c r="J14" s="31" t="str">
        <f>IFERROR(VLOOKUP(J10,'[1]M 기준정보'!$B$5:$F$49936,5,0)*생산계획!J12,"")</f>
        <v/>
      </c>
      <c r="K14" s="31" t="str">
        <f>IFERROR(VLOOKUP(K10,'[1]M 기준정보'!$B$5:$F$49936,5,0)*생산계획!K12,"")</f>
        <v/>
      </c>
      <c r="L14" s="31" t="str">
        <f>IFERROR(VLOOKUP(L10,'[1]M 기준정보'!$B$5:$F$49936,5,0)*생산계획!L12,"")</f>
        <v/>
      </c>
      <c r="M14" s="31" t="str">
        <f>IFERROR(VLOOKUP(M10,'[1]M 기준정보'!$B$5:$F$49936,5,0)*생산계획!M12,"")</f>
        <v/>
      </c>
      <c r="N14" s="31" t="str">
        <f>IFERROR(VLOOKUP(N10,'[1]M 기준정보'!$B$5:$F$49936,5,0)*생산계획!N12,"")</f>
        <v/>
      </c>
      <c r="O14" s="31" t="str">
        <f>IFERROR(VLOOKUP(O10,'[1]M 기준정보'!$B$5:$F$49936,5,0)*생산계획!O12,"")</f>
        <v/>
      </c>
      <c r="P14" s="31" t="str">
        <f>IFERROR(VLOOKUP(P10,'[1]M 기준정보'!$B$5:$F$49936,5,0)*생산계획!P12,"")</f>
        <v/>
      </c>
      <c r="Q14" s="31" t="str">
        <f>IFERROR(VLOOKUP(Q10,'[1]M 기준정보'!$B$5:$F$49936,5,0)*생산계획!Q12,"")</f>
        <v/>
      </c>
      <c r="R14" s="31" t="str">
        <f>IFERROR(VLOOKUP(R10,'[1]M 기준정보'!$B$5:$F$49936,5,0)*생산계획!R12,"")</f>
        <v/>
      </c>
      <c r="S14" s="31" t="str">
        <f>IFERROR(VLOOKUP(S10,'[1]M 기준정보'!$B$5:$F$49936,5,0)*생산계획!S12,"")</f>
        <v/>
      </c>
      <c r="T14" s="31">
        <f>IFERROR(VLOOKUP(T10,'[1]M 기준정보'!$B$5:$F$49936,5,0)*생산계획!T12,"")</f>
        <v>2.4</v>
      </c>
      <c r="U14" s="31" t="str">
        <f>IFERROR(VLOOKUP(U10,'[1]M 기준정보'!$B$5:$F$49936,5,0)*생산계획!U12,"")</f>
        <v/>
      </c>
      <c r="V14" s="31" t="str">
        <f>IFERROR(VLOOKUP(V10,'[1]M 기준정보'!$B$5:$F$49936,5,0)*생산계획!V12,"")</f>
        <v/>
      </c>
      <c r="W14" s="31" t="str">
        <f>IFERROR(VLOOKUP(W10,'[1]M 기준정보'!$B$5:$F$49936,5,0)*생산계획!W12,"")</f>
        <v/>
      </c>
      <c r="X14" s="31" t="str">
        <f>IFERROR(VLOOKUP(X10,'[1]M 기준정보'!$B$5:$F$49936,5,0)*생산계획!X12,"")</f>
        <v/>
      </c>
      <c r="Y14" s="31" t="str">
        <f>IFERROR(VLOOKUP(Y10,'[1]M 기준정보'!$B$5:$F$49936,5,0)*생산계획!Y12,"")</f>
        <v/>
      </c>
      <c r="Z14" s="31" t="str">
        <f>IFERROR(VLOOKUP(Z10,'[1]M 기준정보'!$B$5:$F$49936,5,0)*생산계획!Z12,"")</f>
        <v/>
      </c>
      <c r="AA14" s="31" t="str">
        <f>IFERROR(VLOOKUP(AA10,'[1]M 기준정보'!$B$5:$F$49936,5,0)*생산계획!AA12,"")</f>
        <v/>
      </c>
      <c r="AB14" s="31" t="str">
        <f>IFERROR(VLOOKUP(AB10,'[1]M 기준정보'!$B$5:$F$49936,5,0)*생산계획!AB12,"")</f>
        <v/>
      </c>
      <c r="AC14" s="31" t="str">
        <f>IFERROR(VLOOKUP(AC10,'[1]M 기준정보'!$B$5:$F$49936,5,0)*생산계획!AC12,"")</f>
        <v/>
      </c>
      <c r="AD14" s="31" t="str">
        <f>IFERROR(VLOOKUP(AD10,'[1]M 기준정보'!$B$5:$F$49936,5,0)*생산계획!AD12,"")</f>
        <v/>
      </c>
      <c r="AE14" s="31" t="str">
        <f>IFERROR(VLOOKUP(AE10,'[1]M 기준정보'!$B$5:$F$49936,5,0)*생산계획!AE12,"")</f>
        <v/>
      </c>
      <c r="AF14" s="31" t="str">
        <f>IFERROR(VLOOKUP(AF10,'[1]M 기준정보'!$B$5:$F$49936,5,0)*생산계획!AF12,"")</f>
        <v/>
      </c>
      <c r="AG14" s="31" t="str">
        <f>IFERROR(VLOOKUP(AG10,'[1]M 기준정보'!$B$5:$F$49936,5,0)*생산계획!AG12,"")</f>
        <v/>
      </c>
      <c r="AH14" s="31" t="str">
        <f>IFERROR(VLOOKUP(AH10,'[1]M 기준정보'!$B$5:$F$49936,5,0)*생산계획!AH12,"")</f>
        <v/>
      </c>
      <c r="AI14" s="31" t="str">
        <f>IFERROR(VLOOKUP(AI10,'[1]M 기준정보'!$B$5:$F$49936,5,0)*생산계획!AI12,"")</f>
        <v/>
      </c>
      <c r="AJ14" s="31" t="str">
        <f>IFERROR(VLOOKUP(AJ10,'[1]M 기준정보'!$B$5:$F$49936,5,0)*생산계획!AJ12,"")</f>
        <v/>
      </c>
      <c r="AK14" s="31" t="str">
        <f>IFERROR(VLOOKUP(AK10,'[1]M 기준정보'!$B$5:$F$49936,5,0)*생산계획!AK12,"")</f>
        <v/>
      </c>
      <c r="AL14" s="31" t="str">
        <f>IFERROR(VLOOKUP(AL10,'[1]M 기준정보'!$B$5:$F$49936,5,0)*생산계획!AL12,"")</f>
        <v/>
      </c>
      <c r="AM14" s="31" t="str">
        <f>IFERROR(VLOOKUP(AM10,'[1]M 기준정보'!$B$5:$F$49936,5,0)*생산계획!AM12,"")</f>
        <v/>
      </c>
      <c r="AN14" s="31" t="str">
        <f>IFERROR(VLOOKUP(AN10,'[1]M 기준정보'!$B$5:$F$49936,5,0)*생산계획!AN12,"")</f>
        <v/>
      </c>
      <c r="AO14" s="31" t="str">
        <f>IFERROR(VLOOKUP(AO10,'[1]M 기준정보'!$B$5:$F$49936,5,0)*생산계획!AO12,"")</f>
        <v/>
      </c>
      <c r="AP14" s="31" t="str">
        <f>IFERROR(VLOOKUP(AP10,'[1]M 기준정보'!$B$5:$F$49936,5,0)*생산계획!AP12,"")</f>
        <v/>
      </c>
      <c r="AQ14" s="31" t="str">
        <f>IFERROR(VLOOKUP(AQ10,'[1]M 기준정보'!$B$5:$F$49936,5,0)*생산계획!AQ12,"")</f>
        <v/>
      </c>
      <c r="AR14" s="31" t="str">
        <f>IFERROR(VLOOKUP(AR10,'[1]M 기준정보'!$B$5:$F$49936,5,0)*생산계획!AR12,"")</f>
        <v/>
      </c>
      <c r="AS14" s="31" t="str">
        <f>IFERROR(VLOOKUP(AS10,'[1]M 기준정보'!$B$5:$F$49936,5,0)*생산계획!AS12,"")</f>
        <v/>
      </c>
      <c r="AT14" s="31" t="str">
        <f>IFERROR(VLOOKUP(AT10,'[1]M 기준정보'!$B$5:$F$49936,5,0)*생산계획!AT12,"")</f>
        <v/>
      </c>
      <c r="AU14" s="31" t="str">
        <f>IFERROR(VLOOKUP(AU10,'[1]M 기준정보'!$B$5:$F$49936,5,0)*생산계획!AU12,"")</f>
        <v/>
      </c>
      <c r="AV14" s="31" t="str">
        <f>IFERROR(VLOOKUP(AV10,'[1]M 기준정보'!$B$5:$F$49936,5,0)*생산계획!AV12,"")</f>
        <v/>
      </c>
      <c r="AW14" s="31" t="str">
        <f>IFERROR(VLOOKUP(AW10,'[1]M 기준정보'!$B$5:$F$49936,5,0)*생산계획!AW12,"")</f>
        <v/>
      </c>
      <c r="AX14" s="31" t="str">
        <f>IFERROR(VLOOKUP(AX10,'[1]M 기준정보'!$B$5:$F$49936,5,0)*생산계획!AX12,"")</f>
        <v/>
      </c>
      <c r="AY14" s="31" t="str">
        <f>IFERROR(VLOOKUP(AY10,'[1]M 기준정보'!$B$5:$F$49936,5,0)*생산계획!AY12,"")</f>
        <v/>
      </c>
      <c r="AZ14" s="31" t="str">
        <f>IFERROR(VLOOKUP(AZ10,'[1]M 기준정보'!$B$5:$F$49936,5,0)*생산계획!AZ12,"")</f>
        <v/>
      </c>
      <c r="BA14" s="31" t="str">
        <f>IFERROR(VLOOKUP(BA10,'[1]M 기준정보'!$B$5:$F$49936,5,0)*생산계획!BA12,"")</f>
        <v/>
      </c>
      <c r="BB14" s="31" t="str">
        <f>IFERROR(VLOOKUP(BB10,'[1]M 기준정보'!$B$5:$F$49936,5,0)*생산계획!BB12,"")</f>
        <v/>
      </c>
      <c r="BC14" s="31" t="str">
        <f>IFERROR(VLOOKUP(BC10,'[1]M 기준정보'!$B$5:$F$49936,5,0)*생산계획!BC12,"")</f>
        <v/>
      </c>
      <c r="BD14" s="31" t="str">
        <f>IFERROR(VLOOKUP(BD10,'[1]M 기준정보'!$B$5:$F$49936,5,0)*생산계획!BD12,"")</f>
        <v/>
      </c>
      <c r="BE14" s="31" t="str">
        <f>IFERROR(VLOOKUP(BE10,'[1]M 기준정보'!$B$5:$F$49936,5,0)*생산계획!BE12,"")</f>
        <v/>
      </c>
      <c r="BF14" s="31" t="str">
        <f>IFERROR(VLOOKUP(BF10,'[1]M 기준정보'!$B$5:$F$49936,5,0)*생산계획!BF12,"")</f>
        <v/>
      </c>
      <c r="BG14" s="31" t="str">
        <f>IFERROR(VLOOKUP(BG10,'[1]M 기준정보'!$B$5:$F$49936,5,0)*생산계획!BG12,"")</f>
        <v/>
      </c>
      <c r="BH14" s="31" t="str">
        <f>IFERROR(VLOOKUP(BH10,'[1]M 기준정보'!$B$5:$F$49936,5,0)*생산계획!BH12,"")</f>
        <v/>
      </c>
      <c r="BI14" s="31" t="str">
        <f>IFERROR(VLOOKUP(BI10,'[1]M 기준정보'!$B$5:$F$49936,5,0)*생산계획!BI12,"")</f>
        <v/>
      </c>
      <c r="BJ14" s="31" t="str">
        <f>IFERROR(VLOOKUP(BJ10,'[1]M 기준정보'!$B$5:$F$49936,5,0)*생산계획!BJ12,"")</f>
        <v/>
      </c>
      <c r="BK14" s="31" t="str">
        <f>IFERROR(VLOOKUP(BK10,'[1]M 기준정보'!$B$5:$F$49936,5,0)*생산계획!BK12,"")</f>
        <v/>
      </c>
      <c r="BL14" s="31" t="str">
        <f>IFERROR(VLOOKUP(BL10,'[1]M 기준정보'!$B$5:$F$49936,5,0)*생산계획!BL12,"")</f>
        <v/>
      </c>
      <c r="BM14" s="31" t="str">
        <f>IFERROR(VLOOKUP(BM10,'[1]M 기준정보'!$B$5:$F$49936,5,0)*생산계획!BM12,"")</f>
        <v/>
      </c>
      <c r="BN14" s="31" t="str">
        <f>IFERROR(VLOOKUP(BN10,'[1]M 기준정보'!$B$5:$F$49936,5,0)*생산계획!BN12,"")</f>
        <v/>
      </c>
      <c r="BO14" s="31" t="str">
        <f>IFERROR(VLOOKUP(BO10,'[1]M 기준정보'!$B$5:$F$49936,5,0)*생산계획!BO12,"")</f>
        <v/>
      </c>
      <c r="BP14" s="31" t="str">
        <f>IFERROR(VLOOKUP(BP10,'[1]M 기준정보'!$B$5:$F$49936,5,0)*생산계획!BP12,"")</f>
        <v/>
      </c>
      <c r="BQ14" s="31" t="str">
        <f>IFERROR(VLOOKUP(BQ10,'[1]M 기준정보'!$B$5:$F$49936,5,0)*생산계획!BQ12,"")</f>
        <v/>
      </c>
      <c r="BR14" s="31" t="str">
        <f>IFERROR(VLOOKUP(BR10,'[1]M 기준정보'!$B$5:$F$49936,5,0)*생산계획!BR12,"")</f>
        <v/>
      </c>
      <c r="BS14" s="31" t="str">
        <f>IFERROR(VLOOKUP(BS10,'[1]M 기준정보'!$B$5:$F$49936,5,0)*생산계획!BS12,"")</f>
        <v/>
      </c>
      <c r="BT14" s="31" t="str">
        <f>IFERROR(VLOOKUP(BT10,'[1]M 기준정보'!$B$5:$F$49936,5,0)*생산계획!BT12,"")</f>
        <v/>
      </c>
      <c r="BU14" s="31" t="str">
        <f>IFERROR(VLOOKUP(BU10,'[1]M 기준정보'!$B$5:$F$49936,5,0)*생산계획!BU12,"")</f>
        <v/>
      </c>
      <c r="BV14" s="31" t="str">
        <f>IFERROR(VLOOKUP(BV10,'[1]M 기준정보'!$B$5:$F$49936,5,0)*생산계획!BV12,"")</f>
        <v/>
      </c>
      <c r="BW14" s="31" t="str">
        <f>IFERROR(VLOOKUP(BW10,'[1]M 기준정보'!$B$5:$F$49936,5,0)*생산계획!BW12,"")</f>
        <v/>
      </c>
      <c r="BX14" s="31" t="str">
        <f>IFERROR(VLOOKUP(BX10,'[1]M 기준정보'!$B$5:$F$49936,5,0)*생산계획!BX12,"")</f>
        <v/>
      </c>
      <c r="BY14" s="31" t="str">
        <f>IFERROR(VLOOKUP(BY10,'[1]M 기준정보'!$B$5:$F$49936,5,0)*생산계획!BY12,"")</f>
        <v/>
      </c>
      <c r="BZ14" s="31" t="str">
        <f>IFERROR(VLOOKUP(BZ10,'[1]M 기준정보'!$B$5:$F$49936,5,0)*생산계획!BZ12,"")</f>
        <v/>
      </c>
      <c r="CA14" s="31" t="str">
        <f>IFERROR(VLOOKUP(CA10,'[1]M 기준정보'!$B$5:$F$49936,5,0)*생산계획!CA12,"")</f>
        <v/>
      </c>
      <c r="CB14" s="31" t="str">
        <f>IFERROR(VLOOKUP(CB10,'[1]M 기준정보'!$B$5:$F$49936,5,0)*생산계획!CB12,"")</f>
        <v/>
      </c>
      <c r="CC14" s="31" t="str">
        <f>IFERROR(VLOOKUP(CC10,'[1]M 기준정보'!$B$5:$F$49936,5,0)*생산계획!CC12,"")</f>
        <v/>
      </c>
      <c r="CD14" s="31" t="str">
        <f>IFERROR(VLOOKUP(CD10,'[1]M 기준정보'!$B$5:$F$49936,5,0)*생산계획!CD12,"")</f>
        <v/>
      </c>
      <c r="CE14" s="31" t="str">
        <f>IFERROR(VLOOKUP(CE10,'[1]M 기준정보'!$B$5:$F$49936,5,0)*생산계획!CE12,"")</f>
        <v/>
      </c>
      <c r="CF14" s="31" t="str">
        <f>IFERROR(VLOOKUP(CF10,'[1]M 기준정보'!$B$5:$F$49936,5,0)*생산계획!CF12,"")</f>
        <v/>
      </c>
      <c r="CG14" s="31" t="str">
        <f>IFERROR(VLOOKUP(CG10,'[1]M 기준정보'!$B$5:$F$49936,5,0)*생산계획!CG12,"")</f>
        <v/>
      </c>
      <c r="CH14" s="31" t="str">
        <f>IFERROR(VLOOKUP(CH10,'[1]M 기준정보'!$B$5:$F$49936,5,0)*생산계획!CH12,"")</f>
        <v/>
      </c>
      <c r="CI14" s="31" t="str">
        <f>IFERROR(VLOOKUP(CI10,'[1]M 기준정보'!$B$5:$F$49936,5,0)*생산계획!CI12,"")</f>
        <v/>
      </c>
      <c r="CJ14" s="31" t="str">
        <f>IFERROR(VLOOKUP(CJ10,'[1]M 기준정보'!$B$5:$F$49936,5,0)*생산계획!CJ12,"")</f>
        <v/>
      </c>
      <c r="CK14" s="31" t="str">
        <f>IFERROR(VLOOKUP(CK10,'[1]M 기준정보'!$B$5:$F$49936,5,0)*생산계획!CK12,"")</f>
        <v/>
      </c>
      <c r="CL14" s="31" t="str">
        <f>IFERROR(VLOOKUP(CL10,'[1]M 기준정보'!$B$5:$F$49936,5,0)*생산계획!CL12,"")</f>
        <v/>
      </c>
      <c r="CM14" s="31" t="str">
        <f>IFERROR(VLOOKUP(CM10,'[1]M 기준정보'!$B$5:$F$49936,5,0)*생산계획!CM12,"")</f>
        <v/>
      </c>
      <c r="CN14" s="31" t="str">
        <f>IFERROR(VLOOKUP(CN10,'[1]M 기준정보'!$B$5:$F$49936,5,0)*생산계획!CN12,"")</f>
        <v/>
      </c>
      <c r="CO14" s="31" t="str">
        <f>IFERROR(VLOOKUP(CO10,'[1]M 기준정보'!$B$5:$F$49936,5,0)*생산계획!CO12,"")</f>
        <v/>
      </c>
      <c r="CP14" s="31" t="str">
        <f>IFERROR(VLOOKUP(CP10,'[1]M 기준정보'!$B$5:$F$49936,5,0)*생산계획!CP12,"")</f>
        <v/>
      </c>
      <c r="CQ14" s="31" t="str">
        <f>IFERROR(VLOOKUP(CQ10,'[1]M 기준정보'!$B$5:$F$49936,5,0)*생산계획!CQ12,"")</f>
        <v/>
      </c>
      <c r="CR14" s="31" t="str">
        <f>IFERROR(VLOOKUP(CR10,'[1]M 기준정보'!$B$5:$F$49936,5,0)*생산계획!CR12,"")</f>
        <v/>
      </c>
      <c r="CS14" s="31" t="str">
        <f>IFERROR(VLOOKUP(CS10,'[1]M 기준정보'!$B$5:$F$49936,5,0)*생산계획!CS12,"")</f>
        <v/>
      </c>
      <c r="CT14" s="31" t="str">
        <f>IFERROR(VLOOKUP(CT10,'[1]M 기준정보'!$B$5:$F$49936,5,0)*생산계획!CT12,"")</f>
        <v/>
      </c>
      <c r="CU14" s="31" t="str">
        <f>IFERROR(VLOOKUP(CU10,'[1]M 기준정보'!$B$5:$F$49936,5,0)*생산계획!CU12,"")</f>
        <v/>
      </c>
      <c r="CV14" s="31" t="str">
        <f>IFERROR(VLOOKUP(CV10,'[1]M 기준정보'!$B$5:$F$49936,5,0)*생산계획!CV12,"")</f>
        <v/>
      </c>
      <c r="CW14" s="31" t="str">
        <f>IFERROR(VLOOKUP(CW10,'[1]M 기준정보'!$B$5:$F$49936,5,0)*생산계획!CW12,"")</f>
        <v/>
      </c>
      <c r="CX14" s="31" t="str">
        <f>IFERROR(VLOOKUP(CX10,'[1]M 기준정보'!$B$5:$F$49936,5,0)*생산계획!CX12,"")</f>
        <v/>
      </c>
      <c r="CY14" s="31" t="str">
        <f>IFERROR(VLOOKUP(CY10,'[1]M 기준정보'!$B$5:$F$49936,5,0)*생산계획!CY12,"")</f>
        <v/>
      </c>
      <c r="CZ14" s="31" t="str">
        <f>IFERROR(VLOOKUP(CZ10,'[1]M 기준정보'!$B$5:$F$49936,5,0)*생산계획!CZ12,"")</f>
        <v/>
      </c>
      <c r="DA14" s="31" t="str">
        <f>IFERROR(VLOOKUP(DA10,'[1]M 기준정보'!$B$5:$F$49936,5,0)*생산계획!DA12,"")</f>
        <v/>
      </c>
      <c r="DB14" s="31" t="str">
        <f>IFERROR(VLOOKUP(DB10,'[1]M 기준정보'!$B$5:$F$49936,5,0)*생산계획!DB12,"")</f>
        <v/>
      </c>
      <c r="DC14" s="31" t="str">
        <f>IFERROR(VLOOKUP(DC10,'[1]M 기준정보'!$B$5:$F$49936,5,0)*생산계획!DC12,"")</f>
        <v/>
      </c>
      <c r="DD14" s="31" t="str">
        <f>IFERROR(VLOOKUP(DD10,'[1]M 기준정보'!$B$5:$F$49936,5,0)*생산계획!DD12,"")</f>
        <v/>
      </c>
      <c r="DE14" s="31" t="str">
        <f>IFERROR(VLOOKUP(DE10,'[1]M 기준정보'!$B$5:$F$49936,5,0)*생산계획!DE12,"")</f>
        <v/>
      </c>
      <c r="DF14" s="31" t="str">
        <f>IFERROR(VLOOKUP(DF10,'[1]M 기준정보'!$B$5:$F$49936,5,0)*생산계획!DF12,"")</f>
        <v/>
      </c>
      <c r="DG14" s="31" t="str">
        <f>IFERROR(VLOOKUP(DG10,'[1]M 기준정보'!$B$5:$F$49936,5,0)*생산계획!DG12,"")</f>
        <v/>
      </c>
      <c r="DH14" s="31" t="str">
        <f>IFERROR(VLOOKUP(DH10,'[1]M 기준정보'!$B$5:$F$49936,5,0)*생산계획!DH12,"")</f>
        <v/>
      </c>
      <c r="DI14" s="31" t="str">
        <f>IFERROR(VLOOKUP(DI10,'[1]M 기준정보'!$B$5:$F$49936,5,0)*생산계획!DI12,"")</f>
        <v/>
      </c>
      <c r="DJ14" s="31" t="str">
        <f>IFERROR(VLOOKUP(DJ10,'[1]M 기준정보'!$B$5:$F$49936,5,0)*생산계획!DJ12,"")</f>
        <v/>
      </c>
      <c r="DK14" s="31" t="str">
        <f>IFERROR(VLOOKUP(DK10,'[1]M 기준정보'!$B$5:$F$49936,5,0)*생산계획!DK12,"")</f>
        <v/>
      </c>
      <c r="DL14" s="31" t="str">
        <f>IFERROR(VLOOKUP(DL10,'[1]M 기준정보'!$B$5:$F$49936,5,0)*생산계획!DL12,"")</f>
        <v/>
      </c>
      <c r="DM14" s="31" t="str">
        <f>IFERROR(VLOOKUP(DM10,'[1]M 기준정보'!$B$5:$F$49936,5,0)*생산계획!DM12,"")</f>
        <v/>
      </c>
      <c r="DN14" s="31" t="str">
        <f>IFERROR(VLOOKUP(DN10,'[1]M 기준정보'!$B$5:$F$49936,5,0)*생산계획!DN12,"")</f>
        <v/>
      </c>
      <c r="DO14" s="31" t="str">
        <f>IFERROR(VLOOKUP(DO10,'[1]M 기준정보'!$B$5:$F$49936,5,0)*생산계획!DO12,"")</f>
        <v/>
      </c>
      <c r="DP14" s="31" t="str">
        <f>IFERROR(VLOOKUP(DP10,'[1]M 기준정보'!$B$5:$F$49936,5,0)*생산계획!DP12,"")</f>
        <v/>
      </c>
      <c r="DQ14" s="31" t="str">
        <f>IFERROR(VLOOKUP(DQ10,'[1]M 기준정보'!$B$5:$F$49936,5,0)*생산계획!DQ12,"")</f>
        <v/>
      </c>
      <c r="DR14" s="31" t="str">
        <f>IFERROR(VLOOKUP(DR10,'[1]M 기준정보'!$B$5:$F$49936,5,0)*생산계획!DR12,"")</f>
        <v/>
      </c>
      <c r="DS14" s="31" t="str">
        <f>IFERROR(VLOOKUP(DS10,'[1]M 기준정보'!$B$5:$F$49936,5,0)*생산계획!DS12,"")</f>
        <v/>
      </c>
      <c r="DT14" s="31" t="str">
        <f>IFERROR(VLOOKUP(DT10,'[1]M 기준정보'!$B$5:$F$49936,5,0)*생산계획!DT12,"")</f>
        <v/>
      </c>
      <c r="DU14" s="31" t="str">
        <f>IFERROR(VLOOKUP(DU10,'[1]M 기준정보'!$B$5:$F$49936,5,0)*생산계획!DU12,"")</f>
        <v/>
      </c>
      <c r="DV14" s="31" t="str">
        <f>IFERROR(VLOOKUP(DV10,'[1]M 기준정보'!$B$5:$F$49936,5,0)*생산계획!DV12,"")</f>
        <v/>
      </c>
      <c r="DW14" s="31" t="str">
        <f>IFERROR(VLOOKUP(DW10,'[1]M 기준정보'!$B$5:$F$49936,5,0)*생산계획!DW12,"")</f>
        <v/>
      </c>
      <c r="DX14" s="31" t="str">
        <f>IFERROR(VLOOKUP(DX10,'[1]M 기준정보'!$B$5:$F$49936,5,0)*생산계획!DX12,"")</f>
        <v/>
      </c>
      <c r="DY14" s="31" t="str">
        <f>IFERROR(VLOOKUP(DY10,'[1]M 기준정보'!$B$5:$F$49936,5,0)*생산계획!DY12,"")</f>
        <v/>
      </c>
      <c r="DZ14" s="31" t="str">
        <f>IFERROR(VLOOKUP(DZ10,'[1]M 기준정보'!$B$5:$F$49936,5,0)*생산계획!DZ12,"")</f>
        <v/>
      </c>
      <c r="EA14" s="31" t="str">
        <f>IFERROR(VLOOKUP(EA10,'[1]M 기준정보'!$B$5:$F$49936,5,0)*생산계획!EA12,"")</f>
        <v/>
      </c>
      <c r="EB14" s="31" t="str">
        <f>IFERROR(VLOOKUP(EB10,'[1]M 기준정보'!$B$5:$F$49936,5,0)*생산계획!EB12,"")</f>
        <v/>
      </c>
      <c r="EC14" s="31" t="str">
        <f>IFERROR(VLOOKUP(EC10,'[1]M 기준정보'!$B$5:$F$49936,5,0)*생산계획!EC12,"")</f>
        <v/>
      </c>
      <c r="ED14" s="31" t="str">
        <f>IFERROR(VLOOKUP(ED10,'[1]M 기준정보'!$B$5:$F$49936,5,0)*생산계획!ED12,"")</f>
        <v/>
      </c>
      <c r="EE14" s="31" t="str">
        <f>IFERROR(VLOOKUP(EE10,'[1]M 기준정보'!$B$5:$F$49936,5,0)*생산계획!EE12,"")</f>
        <v/>
      </c>
      <c r="EF14" s="31" t="str">
        <f>IFERROR(VLOOKUP(EF10,'[1]M 기준정보'!$B$5:$F$49936,5,0)*생산계획!EF12,"")</f>
        <v/>
      </c>
    </row>
    <row r="15" spans="1:136" ht="19.5" customHeight="1" x14ac:dyDescent="0.3">
      <c r="A15" s="22"/>
      <c r="B15" s="14" t="s">
        <v>15</v>
      </c>
      <c r="C15" s="35" t="s">
        <v>42</v>
      </c>
      <c r="D15" s="35" t="s">
        <v>42</v>
      </c>
      <c r="E15" s="36" t="s">
        <v>43</v>
      </c>
      <c r="F15" s="32" t="s">
        <v>44</v>
      </c>
      <c r="G15" s="16"/>
      <c r="H15" s="16"/>
      <c r="I15" s="37" t="s">
        <v>45</v>
      </c>
      <c r="J15" s="37" t="s">
        <v>45</v>
      </c>
      <c r="K15" s="37" t="s">
        <v>45</v>
      </c>
      <c r="L15" s="37" t="s">
        <v>45</v>
      </c>
      <c r="M15" s="34" t="s">
        <v>46</v>
      </c>
      <c r="N15" s="16"/>
      <c r="O15" s="16"/>
      <c r="P15" s="38" t="s">
        <v>47</v>
      </c>
      <c r="Q15" s="38" t="s">
        <v>48</v>
      </c>
      <c r="R15" s="35" t="s">
        <v>42</v>
      </c>
      <c r="S15" s="35" t="s">
        <v>42</v>
      </c>
      <c r="T15" s="21" t="s">
        <v>49</v>
      </c>
      <c r="U15" s="16"/>
      <c r="V15" s="16"/>
      <c r="W15" s="35" t="s">
        <v>42</v>
      </c>
      <c r="X15" s="16"/>
      <c r="Y15" s="16"/>
      <c r="Z15" s="19" t="s">
        <v>35</v>
      </c>
      <c r="AA15" s="16"/>
      <c r="AB15" s="16"/>
      <c r="AC15" s="16"/>
      <c r="AD15" s="35" t="s">
        <v>42</v>
      </c>
      <c r="AE15" s="35" t="s">
        <v>42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</row>
    <row r="16" spans="1:136" ht="20.25" customHeight="1" x14ac:dyDescent="0.3">
      <c r="A16" s="22"/>
      <c r="B16" s="23" t="s">
        <v>23</v>
      </c>
      <c r="C16" s="24" t="str">
        <f>IFERROR(VLOOKUP(C15,'[1]M 기준정보'!$B$5:$C$49936,2,0),"")</f>
        <v>SST6000LD</v>
      </c>
      <c r="D16" s="24" t="str">
        <f>IFERROR(VLOOKUP(D15,'[1]M 기준정보'!$B$5:$C$49936,2,0),"")</f>
        <v>SST6000LD</v>
      </c>
      <c r="E16" s="24" t="str">
        <f>IFERROR(VLOOKUP(E15,'[1]M 기준정보'!$B$5:$C$49936,2,0),"")</f>
        <v>EPS7150 DUAL [ i5 7세대, 15" 슈마커향]</v>
      </c>
      <c r="F16" s="24" t="str">
        <f>IFERROR(VLOOKUP(F15,'[1]M 기준정보'!$B$5:$C$49936,2,0),"")</f>
        <v>EPS7150-11G(i5) DUAL RAM 16G (무선랜 ×)</v>
      </c>
      <c r="G16" s="24" t="str">
        <f>IFERROR(VLOOKUP(G15,'[1]M 기준정보'!$B$5:$C$49936,2,0),"")</f>
        <v/>
      </c>
      <c r="H16" s="24" t="str">
        <f>IFERROR(VLOOKUP(H15,'[1]M 기준정보'!$B$5:$C$49936,2,0),"")</f>
        <v/>
      </c>
      <c r="I16" s="24" t="str">
        <f>IFERROR(VLOOKUP(I15,'[1]M 기준정보'!$B$5:$C$49936,2,0),"")</f>
        <v>T20i (i3-12세대) DUAL ,PP211[이마트24]</v>
      </c>
      <c r="J16" s="24" t="str">
        <f>IFERROR(VLOOKUP(J15,'[1]M 기준정보'!$B$5:$C$49936,2,0),"")</f>
        <v>T20i (i3-12세대) DUAL ,PP211[이마트24]</v>
      </c>
      <c r="K16" s="24" t="str">
        <f>IFERROR(VLOOKUP(K15,'[1]M 기준정보'!$B$5:$C$49936,2,0),"")</f>
        <v>T20i (i3-12세대) DUAL ,PP211[이마트24]</v>
      </c>
      <c r="L16" s="24" t="str">
        <f>IFERROR(VLOOKUP(L15,'[1]M 기준정보'!$B$5:$C$49936,2,0),"")</f>
        <v>T20i (i3-12세대) DUAL ,PP211[이마트24]</v>
      </c>
      <c r="M16" s="24" t="str">
        <f>IFERROR(VLOOKUP(M15,'[1]M 기준정보'!$B$5:$C$49936,2,0),"")</f>
        <v>SST6000LP</v>
      </c>
      <c r="N16" s="24" t="str">
        <f>IFERROR(VLOOKUP(N15,'[1]M 기준정보'!$B$5:$C$49936,2,0),"")</f>
        <v/>
      </c>
      <c r="O16" s="24" t="str">
        <f>IFERROR(VLOOKUP(O15,'[1]M 기준정보'!$B$5:$C$49936,2,0),"")</f>
        <v/>
      </c>
      <c r="P16" s="24" t="str">
        <f>IFERROR(VLOOKUP(P15,'[1]M 기준정보'!$B$5:$C$49936,2,0),"")</f>
        <v>EPS7150 DUAL [i5 11세대 이마트몰]</v>
      </c>
      <c r="Q16" s="24" t="str">
        <f>IFERROR(VLOOKUP(Q15,'[1]M 기준정보'!$B$5:$C$49936,2,0),"")</f>
        <v>EPS7150 DUAL [i5 11세대 이마트몰]</v>
      </c>
      <c r="R16" s="24" t="str">
        <f>IFERROR(VLOOKUP(R15,'[1]M 기준정보'!$B$5:$C$49936,2,0),"")</f>
        <v>SST6000LD</v>
      </c>
      <c r="S16" s="24" t="str">
        <f>IFERROR(VLOOKUP(S15,'[1]M 기준정보'!$B$5:$C$49936,2,0),"")</f>
        <v>SST6000LD</v>
      </c>
      <c r="T16" s="24" t="str">
        <f>IFERROR(VLOOKUP(T15,'[1]M 기준정보'!$B$5:$C$49936,2,0),"")</f>
        <v>T6150FTK 도시바향 (섹션)RGB</v>
      </c>
      <c r="U16" s="24" t="str">
        <f>IFERROR(VLOOKUP(U15,'[1]M 기준정보'!$B$5:$C$49936,2,0),"")</f>
        <v/>
      </c>
      <c r="V16" s="24" t="str">
        <f>IFERROR(VLOOKUP(V15,'[1]M 기준정보'!$B$5:$C$49936,2,0),"")</f>
        <v/>
      </c>
      <c r="W16" s="24" t="str">
        <f>IFERROR(VLOOKUP(W15,'[1]M 기준정보'!$B$5:$C$49936,2,0),"")</f>
        <v>SST6000LD</v>
      </c>
      <c r="X16" s="24" t="str">
        <f>IFERROR(VLOOKUP(X15,'[1]M 기준정보'!$B$5:$C$49936,2,0),"")</f>
        <v/>
      </c>
      <c r="Y16" s="24" t="str">
        <f>IFERROR(VLOOKUP(Y15,'[1]M 기준정보'!$B$5:$C$49936,2,0),"")</f>
        <v/>
      </c>
      <c r="Z16" s="24" t="str">
        <f>IFERROR(VLOOKUP(Z15,'[1]M 기준정보'!$B$5:$C$49936,2,0),"")</f>
        <v>AM-1115 BLACK SK향(구형 F/W)</v>
      </c>
      <c r="AA16" s="24" t="str">
        <f>IFERROR(VLOOKUP(AA15,'[1]M 기준정보'!$B$5:$C$49936,2,0),"")</f>
        <v/>
      </c>
      <c r="AB16" s="24" t="str">
        <f>IFERROR(VLOOKUP(AB15,'[1]M 기준정보'!$B$5:$C$49936,2,0),"")</f>
        <v/>
      </c>
      <c r="AC16" s="24" t="str">
        <f>IFERROR(VLOOKUP(AC15,'[1]M 기준정보'!$B$5:$C$49936,2,0),"")</f>
        <v/>
      </c>
      <c r="AD16" s="24" t="str">
        <f>IFERROR(VLOOKUP(AD15,'[1]M 기준정보'!$B$5:$C$49936,2,0),"")</f>
        <v>SST6000LD</v>
      </c>
      <c r="AE16" s="24" t="str">
        <f>IFERROR(VLOOKUP(AE15,'[1]M 기준정보'!$B$5:$C$49936,2,0),"")</f>
        <v>SST6000LD</v>
      </c>
      <c r="AF16" s="24" t="str">
        <f>IFERROR(VLOOKUP(AF15,'[1]M 기준정보'!$B$5:$C$49936,2,0),"")</f>
        <v/>
      </c>
      <c r="AG16" s="24" t="str">
        <f>IFERROR(VLOOKUP(AG15,'[1]M 기준정보'!$B$5:$C$49936,2,0),"")</f>
        <v/>
      </c>
      <c r="AH16" s="24" t="str">
        <f>IFERROR(VLOOKUP(AH15,'[1]M 기준정보'!$B$5:$C$49936,2,0),"")</f>
        <v/>
      </c>
      <c r="AI16" s="24" t="str">
        <f>IFERROR(VLOOKUP(AI15,'[1]M 기준정보'!$B$5:$C$49936,2,0),"")</f>
        <v/>
      </c>
      <c r="AJ16" s="24" t="str">
        <f>IFERROR(VLOOKUP(AJ15,'[1]M 기준정보'!$B$5:$C$49936,2,0),"")</f>
        <v/>
      </c>
      <c r="AK16" s="24" t="str">
        <f>IFERROR(VLOOKUP(AK15,'[1]M 기준정보'!$B$5:$C$49936,2,0),"")</f>
        <v/>
      </c>
      <c r="AL16" s="24" t="str">
        <f>IFERROR(VLOOKUP(AL15,'[1]M 기준정보'!$B$5:$C$49936,2,0),"")</f>
        <v/>
      </c>
      <c r="AM16" s="24" t="str">
        <f>IFERROR(VLOOKUP(AM15,'[1]M 기준정보'!$B$5:$C$49936,2,0),"")</f>
        <v/>
      </c>
      <c r="AN16" s="24" t="str">
        <f>IFERROR(VLOOKUP(AN15,'[1]M 기준정보'!$B$5:$C$49936,2,0),"")</f>
        <v/>
      </c>
      <c r="AO16" s="24" t="str">
        <f>IFERROR(VLOOKUP(AO15,'[1]M 기준정보'!$B$5:$C$49936,2,0),"")</f>
        <v/>
      </c>
      <c r="AP16" s="24" t="str">
        <f>IFERROR(VLOOKUP(AP15,'[1]M 기준정보'!$B$5:$C$49936,2,0),"")</f>
        <v/>
      </c>
      <c r="AQ16" s="24" t="str">
        <f>IFERROR(VLOOKUP(AQ15,'[1]M 기준정보'!$B$5:$C$49936,2,0),"")</f>
        <v/>
      </c>
      <c r="AR16" s="24" t="str">
        <f>IFERROR(VLOOKUP(AR15,'[1]M 기준정보'!$B$5:$C$49936,2,0),"")</f>
        <v/>
      </c>
      <c r="AS16" s="24" t="str">
        <f>IFERROR(VLOOKUP(AS15,'[1]M 기준정보'!$B$5:$C$49936,2,0),"")</f>
        <v/>
      </c>
      <c r="AT16" s="24" t="str">
        <f>IFERROR(VLOOKUP(AT15,'[1]M 기준정보'!$B$5:$C$49936,2,0),"")</f>
        <v/>
      </c>
      <c r="AU16" s="24" t="str">
        <f>IFERROR(VLOOKUP(AU15,'[1]M 기준정보'!$B$5:$C$49936,2,0),"")</f>
        <v/>
      </c>
      <c r="AV16" s="24" t="str">
        <f>IFERROR(VLOOKUP(AV15,'[1]M 기준정보'!$B$5:$C$49936,2,0),"")</f>
        <v/>
      </c>
      <c r="AW16" s="24" t="str">
        <f>IFERROR(VLOOKUP(AW15,'[1]M 기준정보'!$B$5:$C$49936,2,0),"")</f>
        <v/>
      </c>
      <c r="AX16" s="24" t="str">
        <f>IFERROR(VLOOKUP(AX15,'[1]M 기준정보'!$B$5:$C$49936,2,0),"")</f>
        <v/>
      </c>
      <c r="AY16" s="24" t="str">
        <f>IFERROR(VLOOKUP(AY15,'[1]M 기준정보'!$B$5:$C$49936,2,0),"")</f>
        <v/>
      </c>
      <c r="AZ16" s="24" t="str">
        <f>IFERROR(VLOOKUP(AZ15,'[1]M 기준정보'!$B$5:$C$49936,2,0),"")</f>
        <v/>
      </c>
      <c r="BA16" s="24" t="str">
        <f>IFERROR(VLOOKUP(BA15,'[1]M 기준정보'!$B$5:$C$49936,2,0),"")</f>
        <v/>
      </c>
      <c r="BB16" s="24" t="str">
        <f>IFERROR(VLOOKUP(BB15,'[1]M 기준정보'!$B$5:$C$49936,2,0),"")</f>
        <v/>
      </c>
      <c r="BC16" s="24" t="str">
        <f>IFERROR(VLOOKUP(BC15,'[1]M 기준정보'!$B$5:$C$49936,2,0),"")</f>
        <v/>
      </c>
      <c r="BD16" s="24" t="str">
        <f>IFERROR(VLOOKUP(BD15,'[1]M 기준정보'!$B$5:$C$49936,2,0),"")</f>
        <v/>
      </c>
      <c r="BE16" s="24" t="str">
        <f>IFERROR(VLOOKUP(BE15,'[1]M 기준정보'!$B$5:$C$49936,2,0),"")</f>
        <v/>
      </c>
      <c r="BF16" s="24" t="str">
        <f>IFERROR(VLOOKUP(BF15,'[1]M 기준정보'!$B$5:$C$49936,2,0),"")</f>
        <v/>
      </c>
      <c r="BG16" s="24" t="str">
        <f>IFERROR(VLOOKUP(BG15,'[1]M 기준정보'!$B$5:$C$49936,2,0),"")</f>
        <v/>
      </c>
      <c r="BH16" s="24" t="str">
        <f>IFERROR(VLOOKUP(BH15,'[1]M 기준정보'!$B$5:$C$49936,2,0),"")</f>
        <v/>
      </c>
      <c r="BI16" s="24" t="str">
        <f>IFERROR(VLOOKUP(BI15,'[1]M 기준정보'!$B$5:$C$49936,2,0),"")</f>
        <v/>
      </c>
      <c r="BJ16" s="24" t="str">
        <f>IFERROR(VLOOKUP(BJ15,'[1]M 기준정보'!$B$5:$C$49936,2,0),"")</f>
        <v/>
      </c>
      <c r="BK16" s="24" t="str">
        <f>IFERROR(VLOOKUP(BK15,'[1]M 기준정보'!$B$5:$C$49936,2,0),"")</f>
        <v/>
      </c>
      <c r="BL16" s="24" t="str">
        <f>IFERROR(VLOOKUP(BL15,'[1]M 기준정보'!$B$5:$C$49936,2,0),"")</f>
        <v/>
      </c>
      <c r="BM16" s="24" t="str">
        <f>IFERROR(VLOOKUP(BM15,'[1]M 기준정보'!$B$5:$C$49936,2,0),"")</f>
        <v/>
      </c>
      <c r="BN16" s="24" t="str">
        <f>IFERROR(VLOOKUP(BN15,'[1]M 기준정보'!$B$5:$C$49936,2,0),"")</f>
        <v/>
      </c>
      <c r="BO16" s="24" t="str">
        <f>IFERROR(VLOOKUP(BO15,'[1]M 기준정보'!$B$5:$C$49936,2,0),"")</f>
        <v/>
      </c>
      <c r="BP16" s="24" t="str">
        <f>IFERROR(VLOOKUP(BP15,'[1]M 기준정보'!$B$5:$C$49936,2,0),"")</f>
        <v/>
      </c>
      <c r="BQ16" s="24" t="str">
        <f>IFERROR(VLOOKUP(BQ15,'[1]M 기준정보'!$B$5:$C$49936,2,0),"")</f>
        <v/>
      </c>
      <c r="BR16" s="24" t="str">
        <f>IFERROR(VLOOKUP(BR15,'[1]M 기준정보'!$B$5:$C$49936,2,0),"")</f>
        <v/>
      </c>
      <c r="BS16" s="24" t="str">
        <f>IFERROR(VLOOKUP(BS15,'[1]M 기준정보'!$B$5:$C$49936,2,0),"")</f>
        <v/>
      </c>
      <c r="BT16" s="24" t="str">
        <f>IFERROR(VLOOKUP(BT15,'[1]M 기준정보'!$B$5:$C$49936,2,0),"")</f>
        <v/>
      </c>
      <c r="BU16" s="24" t="str">
        <f>IFERROR(VLOOKUP(BU15,'[1]M 기준정보'!$B$5:$C$49936,2,0),"")</f>
        <v/>
      </c>
      <c r="BV16" s="24" t="str">
        <f>IFERROR(VLOOKUP(BV15,'[1]M 기준정보'!$B$5:$C$49936,2,0),"")</f>
        <v/>
      </c>
      <c r="BW16" s="24" t="str">
        <f>IFERROR(VLOOKUP(BW15,'[1]M 기준정보'!$B$5:$C$49936,2,0),"")</f>
        <v/>
      </c>
      <c r="BX16" s="24" t="str">
        <f>IFERROR(VLOOKUP(BX15,'[1]M 기준정보'!$B$5:$C$49936,2,0),"")</f>
        <v/>
      </c>
      <c r="BY16" s="24" t="str">
        <f>IFERROR(VLOOKUP(BY15,'[1]M 기준정보'!$B$5:$C$49936,2,0),"")</f>
        <v/>
      </c>
      <c r="BZ16" s="24" t="str">
        <f>IFERROR(VLOOKUP(BZ15,'[1]M 기준정보'!$B$5:$C$49936,2,0),"")</f>
        <v/>
      </c>
      <c r="CA16" s="24" t="str">
        <f>IFERROR(VLOOKUP(CA15,'[1]M 기준정보'!$B$5:$C$49936,2,0),"")</f>
        <v/>
      </c>
      <c r="CB16" s="24" t="str">
        <f>IFERROR(VLOOKUP(CB15,'[1]M 기준정보'!$B$5:$C$49936,2,0),"")</f>
        <v/>
      </c>
      <c r="CC16" s="24" t="str">
        <f>IFERROR(VLOOKUP(CC15,'[1]M 기준정보'!$B$5:$C$49936,2,0),"")</f>
        <v/>
      </c>
      <c r="CD16" s="24" t="str">
        <f>IFERROR(VLOOKUP(CD15,'[1]M 기준정보'!$B$5:$C$49936,2,0),"")</f>
        <v/>
      </c>
      <c r="CE16" s="24" t="str">
        <f>IFERROR(VLOOKUP(CE15,'[1]M 기준정보'!$B$5:$C$49936,2,0),"")</f>
        <v/>
      </c>
      <c r="CF16" s="24" t="str">
        <f>IFERROR(VLOOKUP(CF15,'[1]M 기준정보'!$B$5:$C$49936,2,0),"")</f>
        <v/>
      </c>
      <c r="CG16" s="24" t="str">
        <f>IFERROR(VLOOKUP(CG15,'[1]M 기준정보'!$B$5:$C$49936,2,0),"")</f>
        <v/>
      </c>
      <c r="CH16" s="24" t="str">
        <f>IFERROR(VLOOKUP(CH15,'[1]M 기준정보'!$B$5:$C$49936,2,0),"")</f>
        <v/>
      </c>
      <c r="CI16" s="24" t="str">
        <f>IFERROR(VLOOKUP(CI15,'[1]M 기준정보'!$B$5:$C$49936,2,0),"")</f>
        <v/>
      </c>
      <c r="CJ16" s="24" t="str">
        <f>IFERROR(VLOOKUP(CJ15,'[1]M 기준정보'!$B$5:$C$49936,2,0),"")</f>
        <v/>
      </c>
      <c r="CK16" s="24" t="str">
        <f>IFERROR(VLOOKUP(CK15,'[1]M 기준정보'!$B$5:$C$49936,2,0),"")</f>
        <v/>
      </c>
      <c r="CL16" s="24" t="str">
        <f>IFERROR(VLOOKUP(CL15,'[1]M 기준정보'!$B$5:$C$49936,2,0),"")</f>
        <v/>
      </c>
      <c r="CM16" s="24" t="str">
        <f>IFERROR(VLOOKUP(CM15,'[1]M 기준정보'!$B$5:$C$49936,2,0),"")</f>
        <v/>
      </c>
      <c r="CN16" s="24" t="str">
        <f>IFERROR(VLOOKUP(CN15,'[1]M 기준정보'!$B$5:$C$49936,2,0),"")</f>
        <v/>
      </c>
      <c r="CO16" s="24" t="str">
        <f>IFERROR(VLOOKUP(CO15,'[1]M 기준정보'!$B$5:$C$49936,2,0),"")</f>
        <v/>
      </c>
      <c r="CP16" s="24" t="str">
        <f>IFERROR(VLOOKUP(CP15,'[1]M 기준정보'!$B$5:$C$49936,2,0),"")</f>
        <v/>
      </c>
      <c r="CQ16" s="24" t="str">
        <f>IFERROR(VLOOKUP(CQ15,'[1]M 기준정보'!$B$5:$C$49936,2,0),"")</f>
        <v/>
      </c>
      <c r="CR16" s="24" t="str">
        <f>IFERROR(VLOOKUP(CR15,'[1]M 기준정보'!$B$5:$C$49936,2,0),"")</f>
        <v/>
      </c>
      <c r="CS16" s="24" t="str">
        <f>IFERROR(VLOOKUP(CS15,'[1]M 기준정보'!$B$5:$C$49936,2,0),"")</f>
        <v/>
      </c>
      <c r="CT16" s="24" t="str">
        <f>IFERROR(VLOOKUP(CT15,'[1]M 기준정보'!$B$5:$C$49936,2,0),"")</f>
        <v/>
      </c>
      <c r="CU16" s="24" t="str">
        <f>IFERROR(VLOOKUP(CU15,'[1]M 기준정보'!$B$5:$C$49936,2,0),"")</f>
        <v/>
      </c>
      <c r="CV16" s="24" t="str">
        <f>IFERROR(VLOOKUP(CV15,'[1]M 기준정보'!$B$5:$C$49936,2,0),"")</f>
        <v/>
      </c>
      <c r="CW16" s="24" t="str">
        <f>IFERROR(VLOOKUP(CW15,'[1]M 기준정보'!$B$5:$C$49936,2,0),"")</f>
        <v/>
      </c>
      <c r="CX16" s="24" t="str">
        <f>IFERROR(VLOOKUP(CX15,'[1]M 기준정보'!$B$5:$C$49936,2,0),"")</f>
        <v/>
      </c>
      <c r="CY16" s="24" t="str">
        <f>IFERROR(VLOOKUP(CY15,'[1]M 기준정보'!$B$5:$C$49936,2,0),"")</f>
        <v/>
      </c>
      <c r="CZ16" s="24" t="str">
        <f>IFERROR(VLOOKUP(CZ15,'[1]M 기준정보'!$B$5:$C$49936,2,0),"")</f>
        <v/>
      </c>
      <c r="DA16" s="24" t="str">
        <f>IFERROR(VLOOKUP(DA15,'[1]M 기준정보'!$B$5:$C$49936,2,0),"")</f>
        <v/>
      </c>
      <c r="DB16" s="24" t="str">
        <f>IFERROR(VLOOKUP(DB15,'[1]M 기준정보'!$B$5:$C$49936,2,0),"")</f>
        <v/>
      </c>
      <c r="DC16" s="24" t="str">
        <f>IFERROR(VLOOKUP(DC15,'[1]M 기준정보'!$B$5:$C$49936,2,0),"")</f>
        <v/>
      </c>
      <c r="DD16" s="24" t="str">
        <f>IFERROR(VLOOKUP(DD15,'[1]M 기준정보'!$B$5:$C$49936,2,0),"")</f>
        <v/>
      </c>
      <c r="DE16" s="24" t="str">
        <f>IFERROR(VLOOKUP(DE15,'[1]M 기준정보'!$B$5:$C$49936,2,0),"")</f>
        <v/>
      </c>
      <c r="DF16" s="24" t="str">
        <f>IFERROR(VLOOKUP(DF15,'[1]M 기준정보'!$B$5:$C$49936,2,0),"")</f>
        <v/>
      </c>
      <c r="DG16" s="24" t="str">
        <f>IFERROR(VLOOKUP(DG15,'[1]M 기준정보'!$B$5:$C$49936,2,0),"")</f>
        <v/>
      </c>
      <c r="DH16" s="24" t="str">
        <f>IFERROR(VLOOKUP(DH15,'[1]M 기준정보'!$B$5:$C$49936,2,0),"")</f>
        <v/>
      </c>
      <c r="DI16" s="24" t="str">
        <f>IFERROR(VLOOKUP(DI15,'[1]M 기준정보'!$B$5:$C$49936,2,0),"")</f>
        <v/>
      </c>
      <c r="DJ16" s="24" t="str">
        <f>IFERROR(VLOOKUP(DJ15,'[1]M 기준정보'!$B$5:$C$49936,2,0),"")</f>
        <v/>
      </c>
      <c r="DK16" s="24" t="str">
        <f>IFERROR(VLOOKUP(DK15,'[1]M 기준정보'!$B$5:$C$49936,2,0),"")</f>
        <v/>
      </c>
      <c r="DL16" s="24" t="str">
        <f>IFERROR(VLOOKUP(DL15,'[1]M 기준정보'!$B$5:$C$49936,2,0),"")</f>
        <v/>
      </c>
      <c r="DM16" s="24" t="str">
        <f>IFERROR(VLOOKUP(DM15,'[1]M 기준정보'!$B$5:$C$49936,2,0),"")</f>
        <v/>
      </c>
      <c r="DN16" s="24" t="str">
        <f>IFERROR(VLOOKUP(DN15,'[1]M 기준정보'!$B$5:$C$49936,2,0),"")</f>
        <v/>
      </c>
      <c r="DO16" s="24" t="str">
        <f>IFERROR(VLOOKUP(DO15,'[1]M 기준정보'!$B$5:$C$49936,2,0),"")</f>
        <v/>
      </c>
      <c r="DP16" s="24" t="str">
        <f>IFERROR(VLOOKUP(DP15,'[1]M 기준정보'!$B$5:$C$49936,2,0),"")</f>
        <v/>
      </c>
      <c r="DQ16" s="24" t="str">
        <f>IFERROR(VLOOKUP(DQ15,'[1]M 기준정보'!$B$5:$C$49936,2,0),"")</f>
        <v/>
      </c>
      <c r="DR16" s="24" t="str">
        <f>IFERROR(VLOOKUP(DR15,'[1]M 기준정보'!$B$5:$C$49936,2,0),"")</f>
        <v/>
      </c>
      <c r="DS16" s="24" t="str">
        <f>IFERROR(VLOOKUP(DS15,'[1]M 기준정보'!$B$5:$C$49936,2,0),"")</f>
        <v/>
      </c>
      <c r="DT16" s="24" t="str">
        <f>IFERROR(VLOOKUP(DT15,'[1]M 기준정보'!$B$5:$C$49936,2,0),"")</f>
        <v/>
      </c>
      <c r="DU16" s="24" t="str">
        <f>IFERROR(VLOOKUP(DU15,'[1]M 기준정보'!$B$5:$C$49936,2,0),"")</f>
        <v/>
      </c>
      <c r="DV16" s="24" t="str">
        <f>IFERROR(VLOOKUP(DV15,'[1]M 기준정보'!$B$5:$C$49936,2,0),"")</f>
        <v/>
      </c>
      <c r="DW16" s="24" t="str">
        <f>IFERROR(VLOOKUP(DW15,'[1]M 기준정보'!$B$5:$C$49936,2,0),"")</f>
        <v/>
      </c>
      <c r="DX16" s="24" t="str">
        <f>IFERROR(VLOOKUP(DX15,'[1]M 기준정보'!$B$5:$C$49936,2,0),"")</f>
        <v/>
      </c>
      <c r="DY16" s="24" t="str">
        <f>IFERROR(VLOOKUP(DY15,'[1]M 기준정보'!$B$5:$C$49936,2,0),"")</f>
        <v/>
      </c>
      <c r="DZ16" s="24" t="str">
        <f>IFERROR(VLOOKUP(DZ15,'[1]M 기준정보'!$B$5:$C$49936,2,0),"")</f>
        <v/>
      </c>
      <c r="EA16" s="24" t="str">
        <f>IFERROR(VLOOKUP(EA15,'[1]M 기준정보'!$B$5:$C$49936,2,0),"")</f>
        <v/>
      </c>
      <c r="EB16" s="24" t="str">
        <f>IFERROR(VLOOKUP(EB15,'[1]M 기준정보'!$B$5:$C$49936,2,0),"")</f>
        <v/>
      </c>
      <c r="EC16" s="24" t="str">
        <f>IFERROR(VLOOKUP(EC15,'[1]M 기준정보'!$B$5:$C$49936,2,0),"")</f>
        <v/>
      </c>
      <c r="ED16" s="24" t="str">
        <f>IFERROR(VLOOKUP(ED15,'[1]M 기준정보'!$B$5:$C$49936,2,0),"")</f>
        <v/>
      </c>
      <c r="EE16" s="24" t="str">
        <f>IFERROR(VLOOKUP(EE15,'[1]M 기준정보'!$B$5:$C$49936,2,0),"")</f>
        <v/>
      </c>
      <c r="EF16" s="24" t="str">
        <f>IFERROR(VLOOKUP(EF15,'[1]M 기준정보'!$B$5:$C$49936,2,0),"")</f>
        <v/>
      </c>
    </row>
    <row r="17" spans="1:136" ht="20.25" customHeight="1" x14ac:dyDescent="0.3">
      <c r="A17" s="22"/>
      <c r="B17" s="25" t="s">
        <v>24</v>
      </c>
      <c r="C17" s="26">
        <v>60</v>
      </c>
      <c r="D17" s="26">
        <v>60</v>
      </c>
      <c r="E17" s="26">
        <v>1</v>
      </c>
      <c r="F17" s="26">
        <v>1</v>
      </c>
      <c r="G17" s="26"/>
      <c r="H17" s="26"/>
      <c r="I17" s="26">
        <v>15</v>
      </c>
      <c r="J17" s="26">
        <v>25</v>
      </c>
      <c r="K17" s="26">
        <v>30</v>
      </c>
      <c r="L17" s="26">
        <v>40</v>
      </c>
      <c r="M17" s="26">
        <v>32</v>
      </c>
      <c r="N17" s="26"/>
      <c r="O17" s="26"/>
      <c r="P17" s="26">
        <v>20</v>
      </c>
      <c r="Q17" s="26">
        <v>20</v>
      </c>
      <c r="R17" s="26">
        <v>50</v>
      </c>
      <c r="S17" s="26">
        <v>50</v>
      </c>
      <c r="T17" s="26">
        <v>5</v>
      </c>
      <c r="U17" s="26"/>
      <c r="V17" s="26"/>
      <c r="W17" s="26">
        <v>50</v>
      </c>
      <c r="X17" s="26"/>
      <c r="Y17" s="26"/>
      <c r="Z17" s="26">
        <v>12</v>
      </c>
      <c r="AA17" s="26"/>
      <c r="AB17" s="26"/>
      <c r="AC17" s="26"/>
      <c r="AD17" s="26">
        <v>50</v>
      </c>
      <c r="AE17" s="26">
        <v>50</v>
      </c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</row>
    <row r="18" spans="1:136" ht="20.25" customHeight="1" thickBot="1" x14ac:dyDescent="0.35">
      <c r="A18" s="22"/>
      <c r="B18" s="27" t="s">
        <v>25</v>
      </c>
      <c r="C18" s="28" t="s">
        <v>50</v>
      </c>
      <c r="D18" s="28" t="s">
        <v>51</v>
      </c>
      <c r="E18" s="28" t="s">
        <v>52</v>
      </c>
      <c r="F18" s="28" t="s">
        <v>53</v>
      </c>
      <c r="G18" s="29"/>
      <c r="H18" s="29"/>
      <c r="I18" s="28" t="s">
        <v>54</v>
      </c>
      <c r="J18" s="28" t="s">
        <v>54</v>
      </c>
      <c r="K18" s="28" t="s">
        <v>54</v>
      </c>
      <c r="L18" s="28" t="s">
        <v>54</v>
      </c>
      <c r="M18" s="28" t="s">
        <v>55</v>
      </c>
      <c r="N18" s="29"/>
      <c r="O18" s="29"/>
      <c r="P18" s="39" t="s">
        <v>56</v>
      </c>
      <c r="Q18" s="29"/>
      <c r="R18" s="28" t="s">
        <v>57</v>
      </c>
      <c r="S18" s="28" t="s">
        <v>58</v>
      </c>
      <c r="T18" s="28" t="s">
        <v>41</v>
      </c>
      <c r="U18" s="29"/>
      <c r="V18" s="29"/>
      <c r="W18" s="28" t="s">
        <v>59</v>
      </c>
      <c r="X18" s="29"/>
      <c r="Y18" s="29"/>
      <c r="Z18" s="28" t="s">
        <v>60</v>
      </c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</row>
    <row r="19" spans="1:136" ht="17.25" hidden="1" customHeight="1" thickBot="1" x14ac:dyDescent="0.35">
      <c r="A19" s="22"/>
      <c r="B19" s="30" t="s">
        <v>33</v>
      </c>
      <c r="C19" s="40">
        <f>IFERROR(VLOOKUP(C15,'[1]M 기준정보'!$B$5:$F$49936,5,0)*생산계획!C17,"")</f>
        <v>19.2</v>
      </c>
      <c r="D19" s="40">
        <f>IFERROR(VLOOKUP(D15,'[1]M 기준정보'!$B$5:$F$49936,5,0)*생산계획!D17,"")</f>
        <v>19.2</v>
      </c>
      <c r="E19" s="40">
        <f>IFERROR(VLOOKUP(E15,'[1]M 기준정보'!$B$5:$F$49936,5,0)*생산계획!E17,"")</f>
        <v>1.65</v>
      </c>
      <c r="F19" s="40">
        <f>IFERROR(VLOOKUP(F15,'[1]M 기준정보'!$B$5:$F$49936,5,0)*생산계획!F17,"")</f>
        <v>1.65</v>
      </c>
      <c r="G19" s="40" t="str">
        <f>IFERROR(VLOOKUP(G15,'[1]M 기준정보'!$B$5:$F$49936,5,0)*생산계획!G17,"")</f>
        <v/>
      </c>
      <c r="H19" s="40" t="str">
        <f>IFERROR(VLOOKUP(H15,'[1]M 기준정보'!$B$5:$F$49936,5,0)*생산계획!H17,"")</f>
        <v/>
      </c>
      <c r="I19" s="40">
        <f>IFERROR(VLOOKUP(I15,'[1]M 기준정보'!$B$5:$F$49936,5,0)*생산계획!I17,"")</f>
        <v>24.75</v>
      </c>
      <c r="J19" s="40">
        <f>IFERROR(VLOOKUP(J15,'[1]M 기준정보'!$B$5:$F$49936,5,0)*생산계획!J17,"")</f>
        <v>41.25</v>
      </c>
      <c r="K19" s="40">
        <f>IFERROR(VLOOKUP(K15,'[1]M 기준정보'!$B$5:$F$49936,5,0)*생산계획!K17,"")</f>
        <v>49.5</v>
      </c>
      <c r="L19" s="40">
        <f>IFERROR(VLOOKUP(L15,'[1]M 기준정보'!$B$5:$F$49936,5,0)*생산계획!L17,"")</f>
        <v>66</v>
      </c>
      <c r="M19" s="40">
        <f>IFERROR(VLOOKUP(M15,'[1]M 기준정보'!$B$5:$F$49936,5,0)*생산계획!M17,"")</f>
        <v>10.24</v>
      </c>
      <c r="N19" s="40" t="str">
        <f>IFERROR(VLOOKUP(N15,'[1]M 기준정보'!$B$5:$F$49936,5,0)*생산계획!N17,"")</f>
        <v/>
      </c>
      <c r="O19" s="40" t="str">
        <f>IFERROR(VLOOKUP(O15,'[1]M 기준정보'!$B$5:$F$49936,5,0)*생산계획!O17,"")</f>
        <v/>
      </c>
      <c r="P19" s="40">
        <f>IFERROR(VLOOKUP(P15,'[1]M 기준정보'!$B$5:$F$49936,5,0)*생산계획!P17,"")</f>
        <v>33</v>
      </c>
      <c r="Q19" s="40">
        <f>IFERROR(VLOOKUP(Q15,'[1]M 기준정보'!$B$5:$F$49936,5,0)*생산계획!Q17,"")</f>
        <v>33</v>
      </c>
      <c r="R19" s="40">
        <f>IFERROR(VLOOKUP(R15,'[1]M 기준정보'!$B$5:$F$49936,5,0)*생산계획!R17,"")</f>
        <v>16</v>
      </c>
      <c r="S19" s="40">
        <f>IFERROR(VLOOKUP(S15,'[1]M 기준정보'!$B$5:$F$49936,5,0)*생산계획!S17,"")</f>
        <v>16</v>
      </c>
      <c r="T19" s="40">
        <f>IFERROR(VLOOKUP(T15,'[1]M 기준정보'!$B$5:$F$49936,5,0)*생산계획!T17,"")</f>
        <v>2.4</v>
      </c>
      <c r="U19" s="40" t="str">
        <f>IFERROR(VLOOKUP(U15,'[1]M 기준정보'!$B$5:$F$49936,5,0)*생산계획!U17,"")</f>
        <v/>
      </c>
      <c r="V19" s="40" t="str">
        <f>IFERROR(VLOOKUP(V15,'[1]M 기준정보'!$B$5:$F$49936,5,0)*생산계획!V17,"")</f>
        <v/>
      </c>
      <c r="W19" s="40">
        <f>IFERROR(VLOOKUP(W15,'[1]M 기준정보'!$B$5:$F$49936,5,0)*생산계획!W17,"")</f>
        <v>16</v>
      </c>
      <c r="X19" s="40" t="str">
        <f>IFERROR(VLOOKUP(X15,'[1]M 기준정보'!$B$5:$F$49936,5,0)*생산계획!X17,"")</f>
        <v/>
      </c>
      <c r="Y19" s="40" t="str">
        <f>IFERROR(VLOOKUP(Y15,'[1]M 기준정보'!$B$5:$F$49936,5,0)*생산계획!Y17,"")</f>
        <v/>
      </c>
      <c r="Z19" s="40">
        <f>IFERROR(VLOOKUP(Z15,'[1]M 기준정보'!$B$5:$F$49936,5,0)*생산계획!Z17,"")</f>
        <v>5.76</v>
      </c>
      <c r="AA19" s="40" t="str">
        <f>IFERROR(VLOOKUP(AA15,'[1]M 기준정보'!$B$5:$F$49936,5,0)*생산계획!AA17,"")</f>
        <v/>
      </c>
      <c r="AB19" s="40" t="str">
        <f>IFERROR(VLOOKUP(AB15,'[1]M 기준정보'!$B$5:$F$49936,5,0)*생산계획!AB17,"")</f>
        <v/>
      </c>
      <c r="AC19" s="40" t="str">
        <f>IFERROR(VLOOKUP(AC15,'[1]M 기준정보'!$B$5:$F$49936,5,0)*생산계획!AC17,"")</f>
        <v/>
      </c>
      <c r="AD19" s="40">
        <f>IFERROR(VLOOKUP(AD15,'[1]M 기준정보'!$B$5:$F$49936,5,0)*생산계획!AD17,"")</f>
        <v>16</v>
      </c>
      <c r="AE19" s="40">
        <f>IFERROR(VLOOKUP(AE15,'[1]M 기준정보'!$B$5:$F$49936,5,0)*생산계획!AE17,"")</f>
        <v>16</v>
      </c>
      <c r="AF19" s="40" t="str">
        <f>IFERROR(VLOOKUP(AF15,'[1]M 기준정보'!$B$5:$F$49936,5,0)*생산계획!AF17,"")</f>
        <v/>
      </c>
      <c r="AG19" s="40" t="str">
        <f>IFERROR(VLOOKUP(AG15,'[1]M 기준정보'!$B$5:$F$49936,5,0)*생산계획!AG17,"")</f>
        <v/>
      </c>
      <c r="AH19" s="40" t="str">
        <f>IFERROR(VLOOKUP(AH15,'[1]M 기준정보'!$B$5:$F$49936,5,0)*생산계획!AH17,"")</f>
        <v/>
      </c>
      <c r="AI19" s="40" t="str">
        <f>IFERROR(VLOOKUP(AI15,'[1]M 기준정보'!$B$5:$F$49936,5,0)*생산계획!AI17,"")</f>
        <v/>
      </c>
      <c r="AJ19" s="40" t="str">
        <f>IFERROR(VLOOKUP(AJ15,'[1]M 기준정보'!$B$5:$F$49936,5,0)*생산계획!AJ17,"")</f>
        <v/>
      </c>
      <c r="AK19" s="40" t="str">
        <f>IFERROR(VLOOKUP(AK15,'[1]M 기준정보'!$B$5:$F$49936,5,0)*생산계획!AK17,"")</f>
        <v/>
      </c>
      <c r="AL19" s="40" t="str">
        <f>IFERROR(VLOOKUP(AL15,'[1]M 기준정보'!$B$5:$F$49936,5,0)*생산계획!AL17,"")</f>
        <v/>
      </c>
      <c r="AM19" s="40" t="str">
        <f>IFERROR(VLOOKUP(AM15,'[1]M 기준정보'!$B$5:$F$49936,5,0)*생산계획!AM17,"")</f>
        <v/>
      </c>
      <c r="AN19" s="40" t="str">
        <f>IFERROR(VLOOKUP(AN15,'[1]M 기준정보'!$B$5:$F$49936,5,0)*생산계획!AN17,"")</f>
        <v/>
      </c>
      <c r="AO19" s="40" t="str">
        <f>IFERROR(VLOOKUP(AO15,'[1]M 기준정보'!$B$5:$F$49936,5,0)*생산계획!AO17,"")</f>
        <v/>
      </c>
      <c r="AP19" s="40" t="str">
        <f>IFERROR(VLOOKUP(AP15,'[1]M 기준정보'!$B$5:$F$49936,5,0)*생산계획!AP17,"")</f>
        <v/>
      </c>
      <c r="AQ19" s="40" t="str">
        <f>IFERROR(VLOOKUP(AQ15,'[1]M 기준정보'!$B$5:$F$49936,5,0)*생산계획!AQ17,"")</f>
        <v/>
      </c>
      <c r="AR19" s="40" t="str">
        <f>IFERROR(VLOOKUP(AR15,'[1]M 기준정보'!$B$5:$F$49936,5,0)*생산계획!AR17,"")</f>
        <v/>
      </c>
      <c r="AS19" s="40" t="str">
        <f>IFERROR(VLOOKUP(AS15,'[1]M 기준정보'!$B$5:$F$49936,5,0)*생산계획!AS17,"")</f>
        <v/>
      </c>
      <c r="AT19" s="40" t="str">
        <f>IFERROR(VLOOKUP(AT15,'[1]M 기준정보'!$B$5:$F$49936,5,0)*생산계획!AT17,"")</f>
        <v/>
      </c>
      <c r="AU19" s="40" t="str">
        <f>IFERROR(VLOOKUP(AU15,'[1]M 기준정보'!$B$5:$F$49936,5,0)*생산계획!AU17,"")</f>
        <v/>
      </c>
      <c r="AV19" s="40" t="str">
        <f>IFERROR(VLOOKUP(AV15,'[1]M 기준정보'!$B$5:$F$49936,5,0)*생산계획!AV17,"")</f>
        <v/>
      </c>
      <c r="AW19" s="40" t="str">
        <f>IFERROR(VLOOKUP(AW15,'[1]M 기준정보'!$B$5:$F$49936,5,0)*생산계획!AW17,"")</f>
        <v/>
      </c>
      <c r="AX19" s="40" t="str">
        <f>IFERROR(VLOOKUP(AX15,'[1]M 기준정보'!$B$5:$F$49936,5,0)*생산계획!AX17,"")</f>
        <v/>
      </c>
      <c r="AY19" s="40" t="str">
        <f>IFERROR(VLOOKUP(AY15,'[1]M 기준정보'!$B$5:$F$49936,5,0)*생산계획!AY17,"")</f>
        <v/>
      </c>
      <c r="AZ19" s="40" t="str">
        <f>IFERROR(VLOOKUP(AZ15,'[1]M 기준정보'!$B$5:$F$49936,5,0)*생산계획!AZ17,"")</f>
        <v/>
      </c>
      <c r="BA19" s="40" t="str">
        <f>IFERROR(VLOOKUP(BA15,'[1]M 기준정보'!$B$5:$F$49936,5,0)*생산계획!BA17,"")</f>
        <v/>
      </c>
      <c r="BB19" s="40" t="str">
        <f>IFERROR(VLOOKUP(BB15,'[1]M 기준정보'!$B$5:$F$49936,5,0)*생산계획!BB17,"")</f>
        <v/>
      </c>
      <c r="BC19" s="40" t="str">
        <f>IFERROR(VLOOKUP(BC15,'[1]M 기준정보'!$B$5:$F$49936,5,0)*생산계획!BC17,"")</f>
        <v/>
      </c>
      <c r="BD19" s="40" t="str">
        <f>IFERROR(VLOOKUP(BD15,'[1]M 기준정보'!$B$5:$F$49936,5,0)*생산계획!BD17,"")</f>
        <v/>
      </c>
      <c r="BE19" s="40" t="str">
        <f>IFERROR(VLOOKUP(BE15,'[1]M 기준정보'!$B$5:$F$49936,5,0)*생산계획!BE17,"")</f>
        <v/>
      </c>
      <c r="BF19" s="40" t="str">
        <f>IFERROR(VLOOKUP(BF15,'[1]M 기준정보'!$B$5:$F$49936,5,0)*생산계획!BF17,"")</f>
        <v/>
      </c>
      <c r="BG19" s="40" t="str">
        <f>IFERROR(VLOOKUP(BG15,'[1]M 기준정보'!$B$5:$F$49936,5,0)*생산계획!BG17,"")</f>
        <v/>
      </c>
      <c r="BH19" s="40" t="str">
        <f>IFERROR(VLOOKUP(BH15,'[1]M 기준정보'!$B$5:$F$49936,5,0)*생산계획!BH17,"")</f>
        <v/>
      </c>
      <c r="BI19" s="40" t="str">
        <f>IFERROR(VLOOKUP(BI15,'[1]M 기준정보'!$B$5:$F$49936,5,0)*생산계획!BI17,"")</f>
        <v/>
      </c>
      <c r="BJ19" s="40" t="str">
        <f>IFERROR(VLOOKUP(BJ15,'[1]M 기준정보'!$B$5:$F$49936,5,0)*생산계획!BJ17,"")</f>
        <v/>
      </c>
      <c r="BK19" s="40" t="str">
        <f>IFERROR(VLOOKUP(BK15,'[1]M 기준정보'!$B$5:$F$49936,5,0)*생산계획!BK17,"")</f>
        <v/>
      </c>
      <c r="BL19" s="40" t="str">
        <f>IFERROR(VLOOKUP(BL15,'[1]M 기준정보'!$B$5:$F$49936,5,0)*생산계획!BL17,"")</f>
        <v/>
      </c>
      <c r="BM19" s="40" t="str">
        <f>IFERROR(VLOOKUP(BM15,'[1]M 기준정보'!$B$5:$F$49936,5,0)*생산계획!BM17,"")</f>
        <v/>
      </c>
      <c r="BN19" s="40" t="str">
        <f>IFERROR(VLOOKUP(BN15,'[1]M 기준정보'!$B$5:$F$49936,5,0)*생산계획!BN17,"")</f>
        <v/>
      </c>
      <c r="BO19" s="40" t="str">
        <f>IFERROR(VLOOKUP(BO15,'[1]M 기준정보'!$B$5:$F$49936,5,0)*생산계획!BO17,"")</f>
        <v/>
      </c>
      <c r="BP19" s="40" t="str">
        <f>IFERROR(VLOOKUP(BP15,'[1]M 기준정보'!$B$5:$F$49936,5,0)*생산계획!BP17,"")</f>
        <v/>
      </c>
      <c r="BQ19" s="40" t="str">
        <f>IFERROR(VLOOKUP(BQ15,'[1]M 기준정보'!$B$5:$F$49936,5,0)*생산계획!BQ17,"")</f>
        <v/>
      </c>
      <c r="BR19" s="40" t="str">
        <f>IFERROR(VLOOKUP(BR15,'[1]M 기준정보'!$B$5:$F$49936,5,0)*생산계획!BR17,"")</f>
        <v/>
      </c>
      <c r="BS19" s="40" t="str">
        <f>IFERROR(VLOOKUP(BS15,'[1]M 기준정보'!$B$5:$F$49936,5,0)*생산계획!BS17,"")</f>
        <v/>
      </c>
      <c r="BT19" s="40" t="str">
        <f>IFERROR(VLOOKUP(BT15,'[1]M 기준정보'!$B$5:$F$49936,5,0)*생산계획!BT17,"")</f>
        <v/>
      </c>
      <c r="BU19" s="40" t="str">
        <f>IFERROR(VLOOKUP(BU15,'[1]M 기준정보'!$B$5:$F$49936,5,0)*생산계획!BU17,"")</f>
        <v/>
      </c>
      <c r="BV19" s="40" t="str">
        <f>IFERROR(VLOOKUP(BV15,'[1]M 기준정보'!$B$5:$F$49936,5,0)*생산계획!BV17,"")</f>
        <v/>
      </c>
      <c r="BW19" s="40" t="str">
        <f>IFERROR(VLOOKUP(BW15,'[1]M 기준정보'!$B$5:$F$49936,5,0)*생산계획!BW17,"")</f>
        <v/>
      </c>
      <c r="BX19" s="40" t="str">
        <f>IFERROR(VLOOKUP(BX15,'[1]M 기준정보'!$B$5:$F$49936,5,0)*생산계획!BX17,"")</f>
        <v/>
      </c>
      <c r="BY19" s="40" t="str">
        <f>IFERROR(VLOOKUP(BY15,'[1]M 기준정보'!$B$5:$F$49936,5,0)*생산계획!BY17,"")</f>
        <v/>
      </c>
      <c r="BZ19" s="40" t="str">
        <f>IFERROR(VLOOKUP(BZ15,'[1]M 기준정보'!$B$5:$F$49936,5,0)*생산계획!BZ17,"")</f>
        <v/>
      </c>
      <c r="CA19" s="40" t="str">
        <f>IFERROR(VLOOKUP(CA15,'[1]M 기준정보'!$B$5:$F$49936,5,0)*생산계획!CA17,"")</f>
        <v/>
      </c>
      <c r="CB19" s="40" t="str">
        <f>IFERROR(VLOOKUP(CB15,'[1]M 기준정보'!$B$5:$F$49936,5,0)*생산계획!CB17,"")</f>
        <v/>
      </c>
      <c r="CC19" s="40" t="str">
        <f>IFERROR(VLOOKUP(CC15,'[1]M 기준정보'!$B$5:$F$49936,5,0)*생산계획!CC17,"")</f>
        <v/>
      </c>
      <c r="CD19" s="40" t="str">
        <f>IFERROR(VLOOKUP(CD15,'[1]M 기준정보'!$B$5:$F$49936,5,0)*생산계획!CD17,"")</f>
        <v/>
      </c>
      <c r="CE19" s="40" t="str">
        <f>IFERROR(VLOOKUP(CE15,'[1]M 기준정보'!$B$5:$F$49936,5,0)*생산계획!CE17,"")</f>
        <v/>
      </c>
      <c r="CF19" s="40" t="str">
        <f>IFERROR(VLOOKUP(CF15,'[1]M 기준정보'!$B$5:$F$49936,5,0)*생산계획!CF17,"")</f>
        <v/>
      </c>
      <c r="CG19" s="40" t="str">
        <f>IFERROR(VLOOKUP(CG15,'[1]M 기준정보'!$B$5:$F$49936,5,0)*생산계획!CG17,"")</f>
        <v/>
      </c>
      <c r="CH19" s="40" t="str">
        <f>IFERROR(VLOOKUP(CH15,'[1]M 기준정보'!$B$5:$F$49936,5,0)*생산계획!CH17,"")</f>
        <v/>
      </c>
      <c r="CI19" s="40" t="str">
        <f>IFERROR(VLOOKUP(CI15,'[1]M 기준정보'!$B$5:$F$49936,5,0)*생산계획!CI17,"")</f>
        <v/>
      </c>
      <c r="CJ19" s="40" t="str">
        <f>IFERROR(VLOOKUP(CJ15,'[1]M 기준정보'!$B$5:$F$49936,5,0)*생산계획!CJ17,"")</f>
        <v/>
      </c>
      <c r="CK19" s="40" t="str">
        <f>IFERROR(VLOOKUP(CK15,'[1]M 기준정보'!$B$5:$F$49936,5,0)*생산계획!CK17,"")</f>
        <v/>
      </c>
      <c r="CL19" s="40" t="str">
        <f>IFERROR(VLOOKUP(CL15,'[1]M 기준정보'!$B$5:$F$49936,5,0)*생산계획!CL17,"")</f>
        <v/>
      </c>
      <c r="CM19" s="40" t="str">
        <f>IFERROR(VLOOKUP(CM15,'[1]M 기준정보'!$B$5:$F$49936,5,0)*생산계획!CM17,"")</f>
        <v/>
      </c>
      <c r="CN19" s="40" t="str">
        <f>IFERROR(VLOOKUP(CN15,'[1]M 기준정보'!$B$5:$F$49936,5,0)*생산계획!CN17,"")</f>
        <v/>
      </c>
      <c r="CO19" s="40" t="str">
        <f>IFERROR(VLOOKUP(CO15,'[1]M 기준정보'!$B$5:$F$49936,5,0)*생산계획!CO17,"")</f>
        <v/>
      </c>
      <c r="CP19" s="40" t="str">
        <f>IFERROR(VLOOKUP(CP15,'[1]M 기준정보'!$B$5:$F$49936,5,0)*생산계획!CP17,"")</f>
        <v/>
      </c>
      <c r="CQ19" s="40" t="str">
        <f>IFERROR(VLOOKUP(CQ15,'[1]M 기준정보'!$B$5:$F$49936,5,0)*생산계획!CQ17,"")</f>
        <v/>
      </c>
      <c r="CR19" s="40" t="str">
        <f>IFERROR(VLOOKUP(CR15,'[1]M 기준정보'!$B$5:$F$49936,5,0)*생산계획!CR17,"")</f>
        <v/>
      </c>
      <c r="CS19" s="40" t="str">
        <f>IFERROR(VLOOKUP(CS15,'[1]M 기준정보'!$B$5:$F$49936,5,0)*생산계획!CS17,"")</f>
        <v/>
      </c>
      <c r="CT19" s="40" t="str">
        <f>IFERROR(VLOOKUP(CT15,'[1]M 기준정보'!$B$5:$F$49936,5,0)*생산계획!CT17,"")</f>
        <v/>
      </c>
      <c r="CU19" s="40" t="str">
        <f>IFERROR(VLOOKUP(CU15,'[1]M 기준정보'!$B$5:$F$49936,5,0)*생산계획!CU17,"")</f>
        <v/>
      </c>
      <c r="CV19" s="40" t="str">
        <f>IFERROR(VLOOKUP(CV15,'[1]M 기준정보'!$B$5:$F$49936,5,0)*생산계획!CV17,"")</f>
        <v/>
      </c>
      <c r="CW19" s="40" t="str">
        <f>IFERROR(VLOOKUP(CW15,'[1]M 기준정보'!$B$5:$F$49936,5,0)*생산계획!CW17,"")</f>
        <v/>
      </c>
      <c r="CX19" s="40" t="str">
        <f>IFERROR(VLOOKUP(CX15,'[1]M 기준정보'!$B$5:$F$49936,5,0)*생산계획!CX17,"")</f>
        <v/>
      </c>
      <c r="CY19" s="40" t="str">
        <f>IFERROR(VLOOKUP(CY15,'[1]M 기준정보'!$B$5:$F$49936,5,0)*생산계획!CY17,"")</f>
        <v/>
      </c>
      <c r="CZ19" s="40" t="str">
        <f>IFERROR(VLOOKUP(CZ15,'[1]M 기준정보'!$B$5:$F$49936,5,0)*생산계획!CZ17,"")</f>
        <v/>
      </c>
      <c r="DA19" s="40" t="str">
        <f>IFERROR(VLOOKUP(DA15,'[1]M 기준정보'!$B$5:$F$49936,5,0)*생산계획!DA17,"")</f>
        <v/>
      </c>
      <c r="DB19" s="40" t="str">
        <f>IFERROR(VLOOKUP(DB15,'[1]M 기준정보'!$B$5:$F$49936,5,0)*생산계획!DB17,"")</f>
        <v/>
      </c>
      <c r="DC19" s="40" t="str">
        <f>IFERROR(VLOOKUP(DC15,'[1]M 기준정보'!$B$5:$F$49936,5,0)*생산계획!DC17,"")</f>
        <v/>
      </c>
      <c r="DD19" s="40" t="str">
        <f>IFERROR(VLOOKUP(DD15,'[1]M 기준정보'!$B$5:$F$49936,5,0)*생산계획!DD17,"")</f>
        <v/>
      </c>
      <c r="DE19" s="40" t="str">
        <f>IFERROR(VLOOKUP(DE15,'[1]M 기준정보'!$B$5:$F$49936,5,0)*생산계획!DE17,"")</f>
        <v/>
      </c>
      <c r="DF19" s="40" t="str">
        <f>IFERROR(VLOOKUP(DF15,'[1]M 기준정보'!$B$5:$F$49936,5,0)*생산계획!DF17,"")</f>
        <v/>
      </c>
      <c r="DG19" s="40" t="str">
        <f>IFERROR(VLOOKUP(DG15,'[1]M 기준정보'!$B$5:$F$49936,5,0)*생산계획!DG17,"")</f>
        <v/>
      </c>
      <c r="DH19" s="40" t="str">
        <f>IFERROR(VLOOKUP(DH15,'[1]M 기준정보'!$B$5:$F$49936,5,0)*생산계획!DH17,"")</f>
        <v/>
      </c>
      <c r="DI19" s="40" t="str">
        <f>IFERROR(VLOOKUP(DI15,'[1]M 기준정보'!$B$5:$F$49936,5,0)*생산계획!DI17,"")</f>
        <v/>
      </c>
      <c r="DJ19" s="40" t="str">
        <f>IFERROR(VLOOKUP(DJ15,'[1]M 기준정보'!$B$5:$F$49936,5,0)*생산계획!DJ17,"")</f>
        <v/>
      </c>
      <c r="DK19" s="40" t="str">
        <f>IFERROR(VLOOKUP(DK15,'[1]M 기준정보'!$B$5:$F$49936,5,0)*생산계획!DK17,"")</f>
        <v/>
      </c>
      <c r="DL19" s="40" t="str">
        <f>IFERROR(VLOOKUP(DL15,'[1]M 기준정보'!$B$5:$F$49936,5,0)*생산계획!DL17,"")</f>
        <v/>
      </c>
      <c r="DM19" s="40" t="str">
        <f>IFERROR(VLOOKUP(DM15,'[1]M 기준정보'!$B$5:$F$49936,5,0)*생산계획!DM17,"")</f>
        <v/>
      </c>
      <c r="DN19" s="40" t="str">
        <f>IFERROR(VLOOKUP(DN15,'[1]M 기준정보'!$B$5:$F$49936,5,0)*생산계획!DN17,"")</f>
        <v/>
      </c>
      <c r="DO19" s="40" t="str">
        <f>IFERROR(VLOOKUP(DO15,'[1]M 기준정보'!$B$5:$F$49936,5,0)*생산계획!DO17,"")</f>
        <v/>
      </c>
      <c r="DP19" s="40" t="str">
        <f>IFERROR(VLOOKUP(DP15,'[1]M 기준정보'!$B$5:$F$49936,5,0)*생산계획!DP17,"")</f>
        <v/>
      </c>
      <c r="DQ19" s="40" t="str">
        <f>IFERROR(VLOOKUP(DQ15,'[1]M 기준정보'!$B$5:$F$49936,5,0)*생산계획!DQ17,"")</f>
        <v/>
      </c>
      <c r="DR19" s="40" t="str">
        <f>IFERROR(VLOOKUP(DR15,'[1]M 기준정보'!$B$5:$F$49936,5,0)*생산계획!DR17,"")</f>
        <v/>
      </c>
      <c r="DS19" s="40" t="str">
        <f>IFERROR(VLOOKUP(DS15,'[1]M 기준정보'!$B$5:$F$49936,5,0)*생산계획!DS17,"")</f>
        <v/>
      </c>
      <c r="DT19" s="40" t="str">
        <f>IFERROR(VLOOKUP(DT15,'[1]M 기준정보'!$B$5:$F$49936,5,0)*생산계획!DT17,"")</f>
        <v/>
      </c>
      <c r="DU19" s="40" t="str">
        <f>IFERROR(VLOOKUP(DU15,'[1]M 기준정보'!$B$5:$F$49936,5,0)*생산계획!DU17,"")</f>
        <v/>
      </c>
      <c r="DV19" s="40" t="str">
        <f>IFERROR(VLOOKUP(DV15,'[1]M 기준정보'!$B$5:$F$49936,5,0)*생산계획!DV17,"")</f>
        <v/>
      </c>
      <c r="DW19" s="40" t="str">
        <f>IFERROR(VLOOKUP(DW15,'[1]M 기준정보'!$B$5:$F$49936,5,0)*생산계획!DW17,"")</f>
        <v/>
      </c>
      <c r="DX19" s="40" t="str">
        <f>IFERROR(VLOOKUP(DX15,'[1]M 기준정보'!$B$5:$F$49936,5,0)*생산계획!DX17,"")</f>
        <v/>
      </c>
      <c r="DY19" s="40" t="str">
        <f>IFERROR(VLOOKUP(DY15,'[1]M 기준정보'!$B$5:$F$49936,5,0)*생산계획!DY17,"")</f>
        <v/>
      </c>
      <c r="DZ19" s="40" t="str">
        <f>IFERROR(VLOOKUP(DZ15,'[1]M 기준정보'!$B$5:$F$49936,5,0)*생산계획!DZ17,"")</f>
        <v/>
      </c>
      <c r="EA19" s="40" t="str">
        <f>IFERROR(VLOOKUP(EA15,'[1]M 기준정보'!$B$5:$F$49936,5,0)*생산계획!EA17,"")</f>
        <v/>
      </c>
      <c r="EB19" s="40" t="str">
        <f>IFERROR(VLOOKUP(EB15,'[1]M 기준정보'!$B$5:$F$49936,5,0)*생산계획!EB17,"")</f>
        <v/>
      </c>
      <c r="EC19" s="40" t="str">
        <f>IFERROR(VLOOKUP(EC15,'[1]M 기준정보'!$B$5:$F$49936,5,0)*생산계획!EC17,"")</f>
        <v/>
      </c>
      <c r="ED19" s="40" t="str">
        <f>IFERROR(VLOOKUP(ED15,'[1]M 기준정보'!$B$5:$F$49936,5,0)*생산계획!ED17,"")</f>
        <v/>
      </c>
      <c r="EE19" s="40" t="str">
        <f>IFERROR(VLOOKUP(EE15,'[1]M 기준정보'!$B$5:$F$49936,5,0)*생산계획!EE17,"")</f>
        <v/>
      </c>
      <c r="EF19" s="40" t="str">
        <f>IFERROR(VLOOKUP(EF15,'[1]M 기준정보'!$B$5:$F$49936,5,0)*생산계획!EF17,"")</f>
        <v/>
      </c>
    </row>
    <row r="20" spans="1:136" ht="20.25" customHeight="1" x14ac:dyDescent="0.3">
      <c r="A20" s="22"/>
      <c r="B20" s="14" t="s">
        <v>15</v>
      </c>
      <c r="C20" s="41" t="s">
        <v>61</v>
      </c>
      <c r="D20" s="41" t="s">
        <v>61</v>
      </c>
      <c r="E20" s="41" t="s">
        <v>61</v>
      </c>
      <c r="F20" s="41" t="s">
        <v>61</v>
      </c>
      <c r="G20" s="16"/>
      <c r="H20" s="16"/>
      <c r="I20" s="41" t="s">
        <v>61</v>
      </c>
      <c r="J20" s="41" t="s">
        <v>61</v>
      </c>
      <c r="K20" s="41" t="s">
        <v>61</v>
      </c>
      <c r="L20" s="35" t="s">
        <v>42</v>
      </c>
      <c r="M20" s="35" t="s">
        <v>42</v>
      </c>
      <c r="N20" s="16"/>
      <c r="O20" s="16"/>
      <c r="P20" s="41" t="s">
        <v>61</v>
      </c>
      <c r="Q20" s="41" t="s">
        <v>61</v>
      </c>
      <c r="R20" s="41" t="s">
        <v>61</v>
      </c>
      <c r="S20" s="41" t="s">
        <v>61</v>
      </c>
      <c r="T20" s="41" t="s">
        <v>61</v>
      </c>
      <c r="U20" s="16"/>
      <c r="V20" s="16"/>
      <c r="W20" s="41" t="s">
        <v>61</v>
      </c>
      <c r="X20" s="41" t="s">
        <v>61</v>
      </c>
      <c r="Y20" s="41" t="s">
        <v>61</v>
      </c>
      <c r="Z20" s="41" t="s">
        <v>61</v>
      </c>
      <c r="AA20" s="41" t="s">
        <v>61</v>
      </c>
      <c r="AB20" s="16"/>
      <c r="AC20" s="16"/>
      <c r="AD20" s="41" t="s">
        <v>61</v>
      </c>
      <c r="AE20" s="41" t="s">
        <v>61</v>
      </c>
      <c r="AF20" s="41" t="s">
        <v>61</v>
      </c>
      <c r="AG20" s="41" t="s">
        <v>61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</row>
    <row r="21" spans="1:136" ht="20.25" customHeight="1" x14ac:dyDescent="0.3">
      <c r="A21" s="22"/>
      <c r="B21" s="23" t="s">
        <v>23</v>
      </c>
      <c r="C21" s="24" t="str">
        <f>IFERROR(VLOOKUP(C20,'[1]M 기준정보'!$B$5:$C$49936,2,0),"")</f>
        <v>CPS7150 BGF(CU향) POS</v>
      </c>
      <c r="D21" s="24" t="str">
        <f>IFERROR(VLOOKUP(D20,'[1]M 기준정보'!$B$5:$C$49936,2,0),"")</f>
        <v>CPS7150 BGF(CU향) POS</v>
      </c>
      <c r="E21" s="24" t="str">
        <f>IFERROR(VLOOKUP(E20,'[1]M 기준정보'!$B$5:$C$49936,2,0),"")</f>
        <v>CPS7150 BGF(CU향) POS</v>
      </c>
      <c r="F21" s="24" t="str">
        <f>IFERROR(VLOOKUP(F20,'[1]M 기준정보'!$B$5:$C$49936,2,0),"")</f>
        <v>CPS7150 BGF(CU향) POS</v>
      </c>
      <c r="G21" s="24" t="str">
        <f>IFERROR(VLOOKUP(G20,'[1]M 기준정보'!$B$5:$C$49936,2,0),"")</f>
        <v/>
      </c>
      <c r="H21" s="24" t="str">
        <f>IFERROR(VLOOKUP(H20,'[1]M 기준정보'!$B$5:$C$49936,2,0),"")</f>
        <v/>
      </c>
      <c r="I21" s="24" t="str">
        <f>IFERROR(VLOOKUP(I20,'[1]M 기준정보'!$B$5:$C$49936,2,0),"")</f>
        <v>CPS7150 BGF(CU향) POS</v>
      </c>
      <c r="J21" s="24" t="str">
        <f>IFERROR(VLOOKUP(J20,'[1]M 기준정보'!$B$5:$C$49936,2,0),"")</f>
        <v>CPS7150 BGF(CU향) POS</v>
      </c>
      <c r="K21" s="24" t="str">
        <f>IFERROR(VLOOKUP(K20,'[1]M 기준정보'!$B$5:$C$49936,2,0),"")</f>
        <v>CPS7150 BGF(CU향) POS</v>
      </c>
      <c r="L21" s="24" t="str">
        <f>IFERROR(VLOOKUP(L20,'[1]M 기준정보'!$B$5:$C$49936,2,0),"")</f>
        <v>SST6000LD</v>
      </c>
      <c r="M21" s="24" t="str">
        <f>IFERROR(VLOOKUP(M20,'[1]M 기준정보'!$B$5:$C$49936,2,0),"")</f>
        <v>SST6000LD</v>
      </c>
      <c r="N21" s="24" t="str">
        <f>IFERROR(VLOOKUP(N20,'[1]M 기준정보'!$B$5:$C$49936,2,0),"")</f>
        <v/>
      </c>
      <c r="O21" s="24" t="str">
        <f>IFERROR(VLOOKUP(O20,'[1]M 기준정보'!$B$5:$C$49936,2,0),"")</f>
        <v/>
      </c>
      <c r="P21" s="24" t="str">
        <f>IFERROR(VLOOKUP(P20,'[1]M 기준정보'!$B$5:$C$49936,2,0),"")</f>
        <v>CPS7150 BGF(CU향) POS</v>
      </c>
      <c r="Q21" s="24" t="str">
        <f>IFERROR(VLOOKUP(Q20,'[1]M 기준정보'!$B$5:$C$49936,2,0),"")</f>
        <v>CPS7150 BGF(CU향) POS</v>
      </c>
      <c r="R21" s="24" t="str">
        <f>IFERROR(VLOOKUP(R20,'[1]M 기준정보'!$B$5:$C$49936,2,0),"")</f>
        <v>CPS7150 BGF(CU향) POS</v>
      </c>
      <c r="S21" s="24" t="str">
        <f>IFERROR(VLOOKUP(S20,'[1]M 기준정보'!$B$5:$C$49936,2,0),"")</f>
        <v>CPS7150 BGF(CU향) POS</v>
      </c>
      <c r="T21" s="24" t="str">
        <f>IFERROR(VLOOKUP(T20,'[1]M 기준정보'!$B$5:$C$49936,2,0),"")</f>
        <v>CPS7150 BGF(CU향) POS</v>
      </c>
      <c r="U21" s="24" t="str">
        <f>IFERROR(VLOOKUP(U20,'[1]M 기준정보'!$B$5:$C$49936,2,0),"")</f>
        <v/>
      </c>
      <c r="V21" s="24" t="str">
        <f>IFERROR(VLOOKUP(V20,'[1]M 기준정보'!$B$5:$C$49936,2,0),"")</f>
        <v/>
      </c>
      <c r="W21" s="24" t="str">
        <f>IFERROR(VLOOKUP(W20,'[1]M 기준정보'!$B$5:$C$49936,2,0),"")</f>
        <v>CPS7150 BGF(CU향) POS</v>
      </c>
      <c r="X21" s="24" t="str">
        <f>IFERROR(VLOOKUP(X20,'[1]M 기준정보'!$B$5:$C$49936,2,0),"")</f>
        <v>CPS7150 BGF(CU향) POS</v>
      </c>
      <c r="Y21" s="24" t="str">
        <f>IFERROR(VLOOKUP(Y20,'[1]M 기준정보'!$B$5:$C$49936,2,0),"")</f>
        <v>CPS7150 BGF(CU향) POS</v>
      </c>
      <c r="Z21" s="24" t="str">
        <f>IFERROR(VLOOKUP(Z20,'[1]M 기준정보'!$B$5:$C$49936,2,0),"")</f>
        <v>CPS7150 BGF(CU향) POS</v>
      </c>
      <c r="AA21" s="24" t="str">
        <f>IFERROR(VLOOKUP(AA20,'[1]M 기준정보'!$B$5:$C$49936,2,0),"")</f>
        <v>CPS7150 BGF(CU향) POS</v>
      </c>
      <c r="AB21" s="24" t="str">
        <f>IFERROR(VLOOKUP(AB20,'[1]M 기준정보'!$B$5:$C$49936,2,0),"")</f>
        <v/>
      </c>
      <c r="AC21" s="24" t="str">
        <f>IFERROR(VLOOKUP(AC20,'[1]M 기준정보'!$B$5:$C$49936,2,0),"")</f>
        <v/>
      </c>
      <c r="AD21" s="24" t="str">
        <f>IFERROR(VLOOKUP(AD20,'[1]M 기준정보'!$B$5:$C$49936,2,0),"")</f>
        <v>CPS7150 BGF(CU향) POS</v>
      </c>
      <c r="AE21" s="24" t="str">
        <f>IFERROR(VLOOKUP(AE20,'[1]M 기준정보'!$B$5:$C$49936,2,0),"")</f>
        <v>CPS7150 BGF(CU향) POS</v>
      </c>
      <c r="AF21" s="24" t="str">
        <f>IFERROR(VLOOKUP(AF20,'[1]M 기준정보'!$B$5:$C$49936,2,0),"")</f>
        <v>CPS7150 BGF(CU향) POS</v>
      </c>
      <c r="AG21" s="24" t="str">
        <f>IFERROR(VLOOKUP(AG20,'[1]M 기준정보'!$B$5:$C$49936,2,0),"")</f>
        <v>CPS7150 BGF(CU향) POS</v>
      </c>
      <c r="AH21" s="24" t="str">
        <f>IFERROR(VLOOKUP(AH20,'[1]M 기준정보'!$B$5:$C$49936,2,0),"")</f>
        <v/>
      </c>
      <c r="AI21" s="24" t="str">
        <f>IFERROR(VLOOKUP(AI20,'[1]M 기준정보'!$B$5:$C$49936,2,0),"")</f>
        <v/>
      </c>
      <c r="AJ21" s="24" t="str">
        <f>IFERROR(VLOOKUP(AJ20,'[1]M 기준정보'!$B$5:$C$49936,2,0),"")</f>
        <v/>
      </c>
      <c r="AK21" s="24" t="str">
        <f>IFERROR(VLOOKUP(AK20,'[1]M 기준정보'!$B$5:$C$49936,2,0),"")</f>
        <v/>
      </c>
      <c r="AL21" s="24" t="str">
        <f>IFERROR(VLOOKUP(AL20,'[1]M 기준정보'!$B$5:$C$49936,2,0),"")</f>
        <v/>
      </c>
      <c r="AM21" s="24" t="str">
        <f>IFERROR(VLOOKUP(AM20,'[1]M 기준정보'!$B$5:$C$49936,2,0),"")</f>
        <v/>
      </c>
      <c r="AN21" s="24" t="str">
        <f>IFERROR(VLOOKUP(AN20,'[1]M 기준정보'!$B$5:$C$49936,2,0),"")</f>
        <v/>
      </c>
      <c r="AO21" s="24" t="str">
        <f>IFERROR(VLOOKUP(AO20,'[1]M 기준정보'!$B$5:$C$49936,2,0),"")</f>
        <v/>
      </c>
      <c r="AP21" s="24" t="str">
        <f>IFERROR(VLOOKUP(AP20,'[1]M 기준정보'!$B$5:$C$49936,2,0),"")</f>
        <v/>
      </c>
      <c r="AQ21" s="24" t="str">
        <f>IFERROR(VLOOKUP(AQ20,'[1]M 기준정보'!$B$5:$C$49936,2,0),"")</f>
        <v/>
      </c>
      <c r="AR21" s="24" t="str">
        <f>IFERROR(VLOOKUP(AR20,'[1]M 기준정보'!$B$5:$C$49936,2,0),"")</f>
        <v/>
      </c>
      <c r="AS21" s="24" t="str">
        <f>IFERROR(VLOOKUP(AS20,'[1]M 기준정보'!$B$5:$C$49936,2,0),"")</f>
        <v/>
      </c>
      <c r="AT21" s="24" t="str">
        <f>IFERROR(VLOOKUP(AT20,'[1]M 기준정보'!$B$5:$C$49936,2,0),"")</f>
        <v/>
      </c>
      <c r="AU21" s="24" t="str">
        <f>IFERROR(VLOOKUP(AU20,'[1]M 기준정보'!$B$5:$C$49936,2,0),"")</f>
        <v/>
      </c>
      <c r="AV21" s="24" t="str">
        <f>IFERROR(VLOOKUP(AV20,'[1]M 기준정보'!$B$5:$C$49936,2,0),"")</f>
        <v/>
      </c>
      <c r="AW21" s="24" t="str">
        <f>IFERROR(VLOOKUP(AW20,'[1]M 기준정보'!$B$5:$C$49936,2,0),"")</f>
        <v/>
      </c>
      <c r="AX21" s="24" t="str">
        <f>IFERROR(VLOOKUP(AX20,'[1]M 기준정보'!$B$5:$C$49936,2,0),"")</f>
        <v/>
      </c>
      <c r="AY21" s="24" t="str">
        <f>IFERROR(VLOOKUP(AY20,'[1]M 기준정보'!$B$5:$C$49936,2,0),"")</f>
        <v/>
      </c>
      <c r="AZ21" s="24" t="str">
        <f>IFERROR(VLOOKUP(AZ20,'[1]M 기준정보'!$B$5:$C$49936,2,0),"")</f>
        <v/>
      </c>
      <c r="BA21" s="24" t="str">
        <f>IFERROR(VLOOKUP(BA20,'[1]M 기준정보'!$B$5:$C$49936,2,0),"")</f>
        <v/>
      </c>
      <c r="BB21" s="24" t="str">
        <f>IFERROR(VLOOKUP(BB20,'[1]M 기준정보'!$B$5:$C$49936,2,0),"")</f>
        <v/>
      </c>
      <c r="BC21" s="24" t="str">
        <f>IFERROR(VLOOKUP(BC20,'[1]M 기준정보'!$B$5:$C$49936,2,0),"")</f>
        <v/>
      </c>
      <c r="BD21" s="24" t="str">
        <f>IFERROR(VLOOKUP(BD20,'[1]M 기준정보'!$B$5:$C$49936,2,0),"")</f>
        <v/>
      </c>
      <c r="BE21" s="24" t="str">
        <f>IFERROR(VLOOKUP(BE20,'[1]M 기준정보'!$B$5:$C$49936,2,0),"")</f>
        <v/>
      </c>
      <c r="BF21" s="24" t="str">
        <f>IFERROR(VLOOKUP(BF20,'[1]M 기준정보'!$B$5:$C$49936,2,0),"")</f>
        <v/>
      </c>
      <c r="BG21" s="24" t="str">
        <f>IFERROR(VLOOKUP(BG20,'[1]M 기준정보'!$B$5:$C$49936,2,0),"")</f>
        <v/>
      </c>
      <c r="BH21" s="24" t="str">
        <f>IFERROR(VLOOKUP(BH20,'[1]M 기준정보'!$B$5:$C$49936,2,0),"")</f>
        <v/>
      </c>
      <c r="BI21" s="24" t="str">
        <f>IFERROR(VLOOKUP(BI20,'[1]M 기준정보'!$B$5:$C$49936,2,0),"")</f>
        <v/>
      </c>
      <c r="BJ21" s="24" t="str">
        <f>IFERROR(VLOOKUP(BJ20,'[1]M 기준정보'!$B$5:$C$49936,2,0),"")</f>
        <v/>
      </c>
      <c r="BK21" s="24" t="str">
        <f>IFERROR(VLOOKUP(BK20,'[1]M 기준정보'!$B$5:$C$49936,2,0),"")</f>
        <v/>
      </c>
      <c r="BL21" s="24" t="str">
        <f>IFERROR(VLOOKUP(BL20,'[1]M 기준정보'!$B$5:$C$49936,2,0),"")</f>
        <v/>
      </c>
      <c r="BM21" s="24" t="str">
        <f>IFERROR(VLOOKUP(BM20,'[1]M 기준정보'!$B$5:$C$49936,2,0),"")</f>
        <v/>
      </c>
      <c r="BN21" s="24" t="str">
        <f>IFERROR(VLOOKUP(BN20,'[1]M 기준정보'!$B$5:$C$49936,2,0),"")</f>
        <v/>
      </c>
      <c r="BO21" s="24" t="str">
        <f>IFERROR(VLOOKUP(BO20,'[1]M 기준정보'!$B$5:$C$49936,2,0),"")</f>
        <v/>
      </c>
      <c r="BP21" s="24" t="str">
        <f>IFERROR(VLOOKUP(BP20,'[1]M 기준정보'!$B$5:$C$49936,2,0),"")</f>
        <v/>
      </c>
      <c r="BQ21" s="24" t="str">
        <f>IFERROR(VLOOKUP(BQ20,'[1]M 기준정보'!$B$5:$C$49936,2,0),"")</f>
        <v/>
      </c>
      <c r="BR21" s="24" t="str">
        <f>IFERROR(VLOOKUP(BR20,'[1]M 기준정보'!$B$5:$C$49936,2,0),"")</f>
        <v/>
      </c>
      <c r="BS21" s="24" t="str">
        <f>IFERROR(VLOOKUP(BS20,'[1]M 기준정보'!$B$5:$C$49936,2,0),"")</f>
        <v/>
      </c>
      <c r="BT21" s="24" t="str">
        <f>IFERROR(VLOOKUP(BT20,'[1]M 기준정보'!$B$5:$C$49936,2,0),"")</f>
        <v/>
      </c>
      <c r="BU21" s="24" t="str">
        <f>IFERROR(VLOOKUP(BU20,'[1]M 기준정보'!$B$5:$C$49936,2,0),"")</f>
        <v/>
      </c>
      <c r="BV21" s="24" t="str">
        <f>IFERROR(VLOOKUP(BV20,'[1]M 기준정보'!$B$5:$C$49936,2,0),"")</f>
        <v/>
      </c>
      <c r="BW21" s="24" t="str">
        <f>IFERROR(VLOOKUP(BW20,'[1]M 기준정보'!$B$5:$C$49936,2,0),"")</f>
        <v/>
      </c>
      <c r="BX21" s="24" t="str">
        <f>IFERROR(VLOOKUP(BX20,'[1]M 기준정보'!$B$5:$C$49936,2,0),"")</f>
        <v/>
      </c>
      <c r="BY21" s="24" t="str">
        <f>IFERROR(VLOOKUP(BY20,'[1]M 기준정보'!$B$5:$C$49936,2,0),"")</f>
        <v/>
      </c>
      <c r="BZ21" s="24" t="str">
        <f>IFERROR(VLOOKUP(BZ20,'[1]M 기준정보'!$B$5:$C$49936,2,0),"")</f>
        <v/>
      </c>
      <c r="CA21" s="24" t="str">
        <f>IFERROR(VLOOKUP(CA20,'[1]M 기준정보'!$B$5:$C$49936,2,0),"")</f>
        <v/>
      </c>
      <c r="CB21" s="24" t="str">
        <f>IFERROR(VLOOKUP(CB20,'[1]M 기준정보'!$B$5:$C$49936,2,0),"")</f>
        <v/>
      </c>
      <c r="CC21" s="24" t="str">
        <f>IFERROR(VLOOKUP(CC20,'[1]M 기준정보'!$B$5:$C$49936,2,0),"")</f>
        <v/>
      </c>
      <c r="CD21" s="24" t="str">
        <f>IFERROR(VLOOKUP(CD20,'[1]M 기준정보'!$B$5:$C$49936,2,0),"")</f>
        <v/>
      </c>
      <c r="CE21" s="24" t="str">
        <f>IFERROR(VLOOKUP(CE20,'[1]M 기준정보'!$B$5:$C$49936,2,0),"")</f>
        <v/>
      </c>
      <c r="CF21" s="24" t="str">
        <f>IFERROR(VLOOKUP(CF20,'[1]M 기준정보'!$B$5:$C$49936,2,0),"")</f>
        <v/>
      </c>
      <c r="CG21" s="24" t="str">
        <f>IFERROR(VLOOKUP(CG20,'[1]M 기준정보'!$B$5:$C$49936,2,0),"")</f>
        <v/>
      </c>
      <c r="CH21" s="24" t="str">
        <f>IFERROR(VLOOKUP(CH20,'[1]M 기준정보'!$B$5:$C$49936,2,0),"")</f>
        <v/>
      </c>
      <c r="CI21" s="24" t="str">
        <f>IFERROR(VLOOKUP(CI20,'[1]M 기준정보'!$B$5:$C$49936,2,0),"")</f>
        <v/>
      </c>
      <c r="CJ21" s="24" t="str">
        <f>IFERROR(VLOOKUP(CJ20,'[1]M 기준정보'!$B$5:$C$49936,2,0),"")</f>
        <v/>
      </c>
      <c r="CK21" s="24" t="str">
        <f>IFERROR(VLOOKUP(CK20,'[1]M 기준정보'!$B$5:$C$49936,2,0),"")</f>
        <v/>
      </c>
      <c r="CL21" s="24" t="str">
        <f>IFERROR(VLOOKUP(CL20,'[1]M 기준정보'!$B$5:$C$49936,2,0),"")</f>
        <v/>
      </c>
      <c r="CM21" s="24" t="str">
        <f>IFERROR(VLOOKUP(CM20,'[1]M 기준정보'!$B$5:$C$49936,2,0),"")</f>
        <v/>
      </c>
      <c r="CN21" s="24" t="str">
        <f>IFERROR(VLOOKUP(CN20,'[1]M 기준정보'!$B$5:$C$49936,2,0),"")</f>
        <v/>
      </c>
      <c r="CO21" s="24" t="str">
        <f>IFERROR(VLOOKUP(CO20,'[1]M 기준정보'!$B$5:$C$49936,2,0),"")</f>
        <v/>
      </c>
      <c r="CP21" s="24" t="str">
        <f>IFERROR(VLOOKUP(CP20,'[1]M 기준정보'!$B$5:$C$49936,2,0),"")</f>
        <v/>
      </c>
      <c r="CQ21" s="24" t="str">
        <f>IFERROR(VLOOKUP(CQ20,'[1]M 기준정보'!$B$5:$C$49936,2,0),"")</f>
        <v/>
      </c>
      <c r="CR21" s="24" t="str">
        <f>IFERROR(VLOOKUP(CR20,'[1]M 기준정보'!$B$5:$C$49936,2,0),"")</f>
        <v/>
      </c>
      <c r="CS21" s="24" t="str">
        <f>IFERROR(VLOOKUP(CS20,'[1]M 기준정보'!$B$5:$C$49936,2,0),"")</f>
        <v/>
      </c>
      <c r="CT21" s="24" t="str">
        <f>IFERROR(VLOOKUP(CT20,'[1]M 기준정보'!$B$5:$C$49936,2,0),"")</f>
        <v/>
      </c>
      <c r="CU21" s="24" t="str">
        <f>IFERROR(VLOOKUP(CU20,'[1]M 기준정보'!$B$5:$C$49936,2,0),"")</f>
        <v/>
      </c>
      <c r="CV21" s="24" t="str">
        <f>IFERROR(VLOOKUP(CV20,'[1]M 기준정보'!$B$5:$C$49936,2,0),"")</f>
        <v/>
      </c>
      <c r="CW21" s="24" t="str">
        <f>IFERROR(VLOOKUP(CW20,'[1]M 기준정보'!$B$5:$C$49936,2,0),"")</f>
        <v/>
      </c>
      <c r="CX21" s="24" t="str">
        <f>IFERROR(VLOOKUP(CX20,'[1]M 기준정보'!$B$5:$C$49936,2,0),"")</f>
        <v/>
      </c>
      <c r="CY21" s="24" t="str">
        <f>IFERROR(VLOOKUP(CY20,'[1]M 기준정보'!$B$5:$C$49936,2,0),"")</f>
        <v/>
      </c>
      <c r="CZ21" s="24" t="str">
        <f>IFERROR(VLOOKUP(CZ20,'[1]M 기준정보'!$B$5:$C$49936,2,0),"")</f>
        <v/>
      </c>
      <c r="DA21" s="24" t="str">
        <f>IFERROR(VLOOKUP(DA20,'[1]M 기준정보'!$B$5:$C$49936,2,0),"")</f>
        <v/>
      </c>
      <c r="DB21" s="24" t="str">
        <f>IFERROR(VLOOKUP(DB20,'[1]M 기준정보'!$B$5:$C$49936,2,0),"")</f>
        <v/>
      </c>
      <c r="DC21" s="24" t="str">
        <f>IFERROR(VLOOKUP(DC20,'[1]M 기준정보'!$B$5:$C$49936,2,0),"")</f>
        <v/>
      </c>
      <c r="DD21" s="24" t="str">
        <f>IFERROR(VLOOKUP(DD20,'[1]M 기준정보'!$B$5:$C$49936,2,0),"")</f>
        <v/>
      </c>
      <c r="DE21" s="24" t="str">
        <f>IFERROR(VLOOKUP(DE20,'[1]M 기준정보'!$B$5:$C$49936,2,0),"")</f>
        <v/>
      </c>
      <c r="DF21" s="24" t="str">
        <f>IFERROR(VLOOKUP(DF20,'[1]M 기준정보'!$B$5:$C$49936,2,0),"")</f>
        <v/>
      </c>
      <c r="DG21" s="24" t="str">
        <f>IFERROR(VLOOKUP(DG20,'[1]M 기준정보'!$B$5:$C$49936,2,0),"")</f>
        <v/>
      </c>
      <c r="DH21" s="24" t="str">
        <f>IFERROR(VLOOKUP(DH20,'[1]M 기준정보'!$B$5:$C$49936,2,0),"")</f>
        <v/>
      </c>
      <c r="DI21" s="24" t="str">
        <f>IFERROR(VLOOKUP(DI20,'[1]M 기준정보'!$B$5:$C$49936,2,0),"")</f>
        <v/>
      </c>
      <c r="DJ21" s="24" t="str">
        <f>IFERROR(VLOOKUP(DJ20,'[1]M 기준정보'!$B$5:$C$49936,2,0),"")</f>
        <v/>
      </c>
      <c r="DK21" s="24" t="str">
        <f>IFERROR(VLOOKUP(DK20,'[1]M 기준정보'!$B$5:$C$49936,2,0),"")</f>
        <v/>
      </c>
      <c r="DL21" s="24" t="str">
        <f>IFERROR(VLOOKUP(DL20,'[1]M 기준정보'!$B$5:$C$49936,2,0),"")</f>
        <v/>
      </c>
      <c r="DM21" s="24" t="str">
        <f>IFERROR(VLOOKUP(DM20,'[1]M 기준정보'!$B$5:$C$49936,2,0),"")</f>
        <v/>
      </c>
      <c r="DN21" s="24" t="str">
        <f>IFERROR(VLOOKUP(DN20,'[1]M 기준정보'!$B$5:$C$49936,2,0),"")</f>
        <v/>
      </c>
      <c r="DO21" s="24" t="str">
        <f>IFERROR(VLOOKUP(DO20,'[1]M 기준정보'!$B$5:$C$49936,2,0),"")</f>
        <v/>
      </c>
      <c r="DP21" s="24" t="str">
        <f>IFERROR(VLOOKUP(DP20,'[1]M 기준정보'!$B$5:$C$49936,2,0),"")</f>
        <v/>
      </c>
      <c r="DQ21" s="24" t="str">
        <f>IFERROR(VLOOKUP(DQ20,'[1]M 기준정보'!$B$5:$C$49936,2,0),"")</f>
        <v/>
      </c>
      <c r="DR21" s="24" t="str">
        <f>IFERROR(VLOOKUP(DR20,'[1]M 기준정보'!$B$5:$C$49936,2,0),"")</f>
        <v/>
      </c>
      <c r="DS21" s="24" t="str">
        <f>IFERROR(VLOOKUP(DS20,'[1]M 기준정보'!$B$5:$C$49936,2,0),"")</f>
        <v/>
      </c>
      <c r="DT21" s="24" t="str">
        <f>IFERROR(VLOOKUP(DT20,'[1]M 기준정보'!$B$5:$C$49936,2,0),"")</f>
        <v/>
      </c>
      <c r="DU21" s="24" t="str">
        <f>IFERROR(VLOOKUP(DU20,'[1]M 기준정보'!$B$5:$C$49936,2,0),"")</f>
        <v/>
      </c>
      <c r="DV21" s="24" t="str">
        <f>IFERROR(VLOOKUP(DV20,'[1]M 기준정보'!$B$5:$C$49936,2,0),"")</f>
        <v/>
      </c>
      <c r="DW21" s="24" t="str">
        <f>IFERROR(VLOOKUP(DW20,'[1]M 기준정보'!$B$5:$C$49936,2,0),"")</f>
        <v/>
      </c>
      <c r="DX21" s="24" t="str">
        <f>IFERROR(VLOOKUP(DX20,'[1]M 기준정보'!$B$5:$C$49936,2,0),"")</f>
        <v/>
      </c>
      <c r="DY21" s="24" t="str">
        <f>IFERROR(VLOOKUP(DY20,'[1]M 기준정보'!$B$5:$C$49936,2,0),"")</f>
        <v/>
      </c>
      <c r="DZ21" s="24" t="str">
        <f>IFERROR(VLOOKUP(DZ20,'[1]M 기준정보'!$B$5:$C$49936,2,0),"")</f>
        <v/>
      </c>
      <c r="EA21" s="24" t="str">
        <f>IFERROR(VLOOKUP(EA20,'[1]M 기준정보'!$B$5:$C$49936,2,0),"")</f>
        <v/>
      </c>
      <c r="EB21" s="24" t="str">
        <f>IFERROR(VLOOKUP(EB20,'[1]M 기준정보'!$B$5:$C$49936,2,0),"")</f>
        <v/>
      </c>
      <c r="EC21" s="24" t="str">
        <f>IFERROR(VLOOKUP(EC20,'[1]M 기준정보'!$B$5:$C$49936,2,0),"")</f>
        <v/>
      </c>
      <c r="ED21" s="24" t="str">
        <f>IFERROR(VLOOKUP(ED20,'[1]M 기준정보'!$B$5:$C$49936,2,0),"")</f>
        <v/>
      </c>
      <c r="EE21" s="24" t="str">
        <f>IFERROR(VLOOKUP(EE20,'[1]M 기준정보'!$B$5:$C$49936,2,0),"")</f>
        <v/>
      </c>
      <c r="EF21" s="24" t="str">
        <f>IFERROR(VLOOKUP(EF20,'[1]M 기준정보'!$B$5:$C$49936,2,0),"")</f>
        <v/>
      </c>
    </row>
    <row r="22" spans="1:136" ht="20.25" customHeight="1" x14ac:dyDescent="0.3">
      <c r="A22" s="22"/>
      <c r="B22" s="25" t="s">
        <v>24</v>
      </c>
      <c r="C22" s="26">
        <v>8</v>
      </c>
      <c r="D22" s="26">
        <v>24</v>
      </c>
      <c r="E22" s="26">
        <v>15</v>
      </c>
      <c r="F22" s="26">
        <v>21</v>
      </c>
      <c r="G22" s="26"/>
      <c r="H22" s="26"/>
      <c r="I22" s="26">
        <v>15</v>
      </c>
      <c r="J22" s="26">
        <v>7</v>
      </c>
      <c r="K22" s="26">
        <v>20</v>
      </c>
      <c r="L22" s="26">
        <v>50</v>
      </c>
      <c r="M22" s="26">
        <v>50</v>
      </c>
      <c r="N22" s="26"/>
      <c r="O22" s="26"/>
      <c r="P22" s="26">
        <v>20</v>
      </c>
      <c r="Q22" s="26">
        <v>20</v>
      </c>
      <c r="R22" s="26">
        <v>20</v>
      </c>
      <c r="S22" s="26">
        <v>20</v>
      </c>
      <c r="T22" s="26">
        <v>20</v>
      </c>
      <c r="U22" s="26"/>
      <c r="V22" s="26"/>
      <c r="W22" s="26">
        <v>20</v>
      </c>
      <c r="X22" s="26">
        <v>20</v>
      </c>
      <c r="Y22" s="26">
        <v>20</v>
      </c>
      <c r="Z22" s="26">
        <v>20</v>
      </c>
      <c r="AA22" s="26">
        <v>20</v>
      </c>
      <c r="AB22" s="26"/>
      <c r="AC22" s="26"/>
      <c r="AD22" s="26">
        <v>20</v>
      </c>
      <c r="AE22" s="26">
        <v>20</v>
      </c>
      <c r="AF22" s="26">
        <v>20</v>
      </c>
      <c r="AG22" s="26">
        <v>20</v>
      </c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</row>
    <row r="23" spans="1:136" ht="20.25" customHeight="1" x14ac:dyDescent="0.3">
      <c r="A23" s="22"/>
      <c r="B23" s="27" t="s">
        <v>25</v>
      </c>
      <c r="C23" s="28"/>
      <c r="D23" s="28"/>
      <c r="E23" s="28"/>
      <c r="F23" s="28"/>
      <c r="G23" s="28"/>
      <c r="H23" s="28"/>
      <c r="I23" s="28"/>
      <c r="J23" s="28"/>
      <c r="K23" s="28"/>
      <c r="L23" s="28" t="s">
        <v>62</v>
      </c>
      <c r="M23" s="28" t="s">
        <v>63</v>
      </c>
      <c r="N23" s="28"/>
      <c r="O23" s="28"/>
      <c r="P23" s="28"/>
      <c r="Q23" s="28"/>
      <c r="R23" s="28"/>
      <c r="S23" s="28"/>
      <c r="T23" s="28" t="s">
        <v>64</v>
      </c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</row>
    <row r="24" spans="1:136" ht="17.25" hidden="1" customHeight="1" thickBot="1" x14ac:dyDescent="0.35">
      <c r="A24" s="42"/>
      <c r="B24" s="30" t="s">
        <v>33</v>
      </c>
      <c r="C24" s="43">
        <f>IFERROR(VLOOKUP(C20,'[1]M 기준정보'!$B$5:$F$49936,5,0)*생산계획!C22,"")</f>
        <v>10</v>
      </c>
      <c r="D24" s="43">
        <f>IFERROR(VLOOKUP(D20,'[1]M 기준정보'!$B$5:$F$49936,5,0)*생산계획!D22,"")</f>
        <v>30</v>
      </c>
      <c r="E24" s="43">
        <f>IFERROR(VLOOKUP(E20,'[1]M 기준정보'!$B$5:$F$49936,5,0)*생산계획!E22,"")</f>
        <v>18.75</v>
      </c>
      <c r="F24" s="43">
        <f>IFERROR(VLOOKUP(F20,'[1]M 기준정보'!$B$5:$F$49936,5,0)*생산계획!F22,"")</f>
        <v>26.25</v>
      </c>
      <c r="G24" s="43" t="str">
        <f>IFERROR(VLOOKUP(G20,'[1]M 기준정보'!$B$5:$F$49936,5,0)*생산계획!G22,"")</f>
        <v/>
      </c>
      <c r="H24" s="43" t="str">
        <f>IFERROR(VLOOKUP(H20,'[1]M 기준정보'!$B$5:$F$49936,5,0)*생산계획!H22,"")</f>
        <v/>
      </c>
      <c r="I24" s="43">
        <f>IFERROR(VLOOKUP(I20,'[1]M 기준정보'!$B$5:$F$49936,5,0)*생산계획!I22,"")</f>
        <v>18.75</v>
      </c>
      <c r="J24" s="43">
        <f>IFERROR(VLOOKUP(J20,'[1]M 기준정보'!$B$5:$F$49936,5,0)*생산계획!J22,"")</f>
        <v>8.75</v>
      </c>
      <c r="K24" s="43">
        <f>IFERROR(VLOOKUP(K20,'[1]M 기준정보'!$B$5:$F$49936,5,0)*생산계획!K22,"")</f>
        <v>25</v>
      </c>
      <c r="L24" s="43">
        <f>IFERROR(VLOOKUP(L20,'[1]M 기준정보'!$B$5:$F$49936,5,0)*생산계획!L22,"")</f>
        <v>16</v>
      </c>
      <c r="M24" s="43">
        <f>IFERROR(VLOOKUP(M20,'[1]M 기준정보'!$B$5:$F$49936,5,0)*생산계획!M22,"")</f>
        <v>16</v>
      </c>
      <c r="N24" s="43" t="str">
        <f>IFERROR(VLOOKUP(N20,'[1]M 기준정보'!$B$5:$F$49936,5,0)*생산계획!N22,"")</f>
        <v/>
      </c>
      <c r="O24" s="43" t="str">
        <f>IFERROR(VLOOKUP(O20,'[1]M 기준정보'!$B$5:$F$49936,5,0)*생산계획!O22,"")</f>
        <v/>
      </c>
      <c r="P24" s="43">
        <f>IFERROR(VLOOKUP(P20,'[1]M 기준정보'!$B$5:$F$49936,5,0)*생산계획!P22,"")</f>
        <v>25</v>
      </c>
      <c r="Q24" s="43">
        <f>IFERROR(VLOOKUP(Q20,'[1]M 기준정보'!$B$5:$F$49936,5,0)*생산계획!Q22,"")</f>
        <v>25</v>
      </c>
      <c r="R24" s="43">
        <f>IFERROR(VLOOKUP(R20,'[1]M 기준정보'!$B$5:$F$49936,5,0)*생산계획!R22,"")</f>
        <v>25</v>
      </c>
      <c r="S24" s="43">
        <f>IFERROR(VLOOKUP(S20,'[1]M 기준정보'!$B$5:$F$49936,5,0)*생산계획!S22,"")</f>
        <v>25</v>
      </c>
      <c r="T24" s="43">
        <f>IFERROR(VLOOKUP(T20,'[1]M 기준정보'!$B$5:$F$49936,5,0)*생산계획!T22,"")</f>
        <v>25</v>
      </c>
      <c r="U24" s="43" t="str">
        <f>IFERROR(VLOOKUP(U20,'[1]M 기준정보'!$B$5:$F$49936,5,0)*생산계획!U22,"")</f>
        <v/>
      </c>
      <c r="V24" s="43" t="str">
        <f>IFERROR(VLOOKUP(V20,'[1]M 기준정보'!$B$5:$F$49936,5,0)*생산계획!V22,"")</f>
        <v/>
      </c>
      <c r="W24" s="43">
        <f>IFERROR(VLOOKUP(W20,'[1]M 기준정보'!$B$5:$F$49936,5,0)*생산계획!W22,"")</f>
        <v>25</v>
      </c>
      <c r="X24" s="43">
        <f>IFERROR(VLOOKUP(X20,'[1]M 기준정보'!$B$5:$F$49936,5,0)*생산계획!X22,"")</f>
        <v>25</v>
      </c>
      <c r="Y24" s="43">
        <f>IFERROR(VLOOKUP(Y20,'[1]M 기준정보'!$B$5:$F$49936,5,0)*생산계획!Y22,"")</f>
        <v>25</v>
      </c>
      <c r="Z24" s="43">
        <f>IFERROR(VLOOKUP(Z20,'[1]M 기준정보'!$B$5:$F$49936,5,0)*생산계획!Z22,"")</f>
        <v>25</v>
      </c>
      <c r="AA24" s="43">
        <f>IFERROR(VLOOKUP(AA20,'[1]M 기준정보'!$B$5:$F$49936,5,0)*생산계획!AA22,"")</f>
        <v>25</v>
      </c>
      <c r="AB24" s="43" t="str">
        <f>IFERROR(VLOOKUP(AB20,'[1]M 기준정보'!$B$5:$F$49936,5,0)*생산계획!AB22,"")</f>
        <v/>
      </c>
      <c r="AC24" s="43" t="str">
        <f>IFERROR(VLOOKUP(AC20,'[1]M 기준정보'!$B$5:$F$49936,5,0)*생산계획!AC22,"")</f>
        <v/>
      </c>
      <c r="AD24" s="43">
        <f>IFERROR(VLOOKUP(AD20,'[1]M 기준정보'!$B$5:$F$49936,5,0)*생산계획!AD22,"")</f>
        <v>25</v>
      </c>
      <c r="AE24" s="43">
        <f>IFERROR(VLOOKUP(AE20,'[1]M 기준정보'!$B$5:$F$49936,5,0)*생산계획!AE22,"")</f>
        <v>25</v>
      </c>
      <c r="AF24" s="43">
        <f>IFERROR(VLOOKUP(AF20,'[1]M 기준정보'!$B$5:$F$49936,5,0)*생산계획!AF22,"")</f>
        <v>25</v>
      </c>
      <c r="AG24" s="43">
        <f>IFERROR(VLOOKUP(AG20,'[1]M 기준정보'!$B$5:$F$49936,5,0)*생산계획!AG22,"")</f>
        <v>25</v>
      </c>
      <c r="AH24" s="43" t="str">
        <f>IFERROR(VLOOKUP(AH20,'[1]M 기준정보'!$B$5:$F$49936,5,0)*생산계획!AH22,"")</f>
        <v/>
      </c>
      <c r="AI24" s="43" t="str">
        <f>IFERROR(VLOOKUP(AI20,'[1]M 기준정보'!$B$5:$F$49936,5,0)*생산계획!AI22,"")</f>
        <v/>
      </c>
      <c r="AJ24" s="43" t="str">
        <f>IFERROR(VLOOKUP(AJ20,'[1]M 기준정보'!$B$5:$F$49936,5,0)*생산계획!AJ22,"")</f>
        <v/>
      </c>
      <c r="AK24" s="43" t="str">
        <f>IFERROR(VLOOKUP(AK20,'[1]M 기준정보'!$B$5:$F$49936,5,0)*생산계획!AK22,"")</f>
        <v/>
      </c>
      <c r="AL24" s="43" t="str">
        <f>IFERROR(VLOOKUP(AL20,'[1]M 기준정보'!$B$5:$F$49936,5,0)*생산계획!AL22,"")</f>
        <v/>
      </c>
      <c r="AM24" s="43" t="str">
        <f>IFERROR(VLOOKUP(AM20,'[1]M 기준정보'!$B$5:$F$49936,5,0)*생산계획!AM22,"")</f>
        <v/>
      </c>
      <c r="AN24" s="43" t="str">
        <f>IFERROR(VLOOKUP(AN20,'[1]M 기준정보'!$B$5:$F$49936,5,0)*생산계획!AN22,"")</f>
        <v/>
      </c>
      <c r="AO24" s="43" t="str">
        <f>IFERROR(VLOOKUP(AO20,'[1]M 기준정보'!$B$5:$F$49936,5,0)*생산계획!AO22,"")</f>
        <v/>
      </c>
      <c r="AP24" s="43" t="str">
        <f>IFERROR(VLOOKUP(AP20,'[1]M 기준정보'!$B$5:$F$49936,5,0)*생산계획!AP22,"")</f>
        <v/>
      </c>
      <c r="AQ24" s="43" t="str">
        <f>IFERROR(VLOOKUP(AQ20,'[1]M 기준정보'!$B$5:$F$49936,5,0)*생산계획!AQ22,"")</f>
        <v/>
      </c>
      <c r="AR24" s="43" t="str">
        <f>IFERROR(VLOOKUP(AR20,'[1]M 기준정보'!$B$5:$F$49936,5,0)*생산계획!AR22,"")</f>
        <v/>
      </c>
      <c r="AS24" s="43" t="str">
        <f>IFERROR(VLOOKUP(AS20,'[1]M 기준정보'!$B$5:$F$49936,5,0)*생산계획!AS22,"")</f>
        <v/>
      </c>
      <c r="AT24" s="43" t="str">
        <f>IFERROR(VLOOKUP(AT20,'[1]M 기준정보'!$B$5:$F$49936,5,0)*생산계획!AT22,"")</f>
        <v/>
      </c>
      <c r="AU24" s="43" t="str">
        <f>IFERROR(VLOOKUP(AU20,'[1]M 기준정보'!$B$5:$F$49936,5,0)*생산계획!AU22,"")</f>
        <v/>
      </c>
      <c r="AV24" s="43" t="str">
        <f>IFERROR(VLOOKUP(AV20,'[1]M 기준정보'!$B$5:$F$49936,5,0)*생산계획!AV22,"")</f>
        <v/>
      </c>
      <c r="AW24" s="43" t="str">
        <f>IFERROR(VLOOKUP(AW20,'[1]M 기준정보'!$B$5:$F$49936,5,0)*생산계획!AW22,"")</f>
        <v/>
      </c>
      <c r="AX24" s="43" t="str">
        <f>IFERROR(VLOOKUP(AX20,'[1]M 기준정보'!$B$5:$F$49936,5,0)*생산계획!AX22,"")</f>
        <v/>
      </c>
      <c r="AY24" s="43" t="str">
        <f>IFERROR(VLOOKUP(AY20,'[1]M 기준정보'!$B$5:$F$49936,5,0)*생산계획!AY22,"")</f>
        <v/>
      </c>
      <c r="AZ24" s="43" t="str">
        <f>IFERROR(VLOOKUP(AZ20,'[1]M 기준정보'!$B$5:$F$49936,5,0)*생산계획!AZ22,"")</f>
        <v/>
      </c>
      <c r="BA24" s="43" t="str">
        <f>IFERROR(VLOOKUP(BA20,'[1]M 기준정보'!$B$5:$F$49936,5,0)*생산계획!BA22,"")</f>
        <v/>
      </c>
      <c r="BB24" s="43" t="str">
        <f>IFERROR(VLOOKUP(BB20,'[1]M 기준정보'!$B$5:$F$49936,5,0)*생산계획!BB22,"")</f>
        <v/>
      </c>
      <c r="BC24" s="43" t="str">
        <f>IFERROR(VLOOKUP(BC20,'[1]M 기준정보'!$B$5:$F$49936,5,0)*생산계획!BC22,"")</f>
        <v/>
      </c>
      <c r="BD24" s="43" t="str">
        <f>IFERROR(VLOOKUP(BD20,'[1]M 기준정보'!$B$5:$F$49936,5,0)*생산계획!BD22,"")</f>
        <v/>
      </c>
      <c r="BE24" s="43" t="str">
        <f>IFERROR(VLOOKUP(BE20,'[1]M 기준정보'!$B$5:$F$49936,5,0)*생산계획!BE22,"")</f>
        <v/>
      </c>
      <c r="BF24" s="43" t="str">
        <f>IFERROR(VLOOKUP(BF20,'[1]M 기준정보'!$B$5:$F$49936,5,0)*생산계획!BF22,"")</f>
        <v/>
      </c>
      <c r="BG24" s="43" t="str">
        <f>IFERROR(VLOOKUP(BG20,'[1]M 기준정보'!$B$5:$F$49936,5,0)*생산계획!BG22,"")</f>
        <v/>
      </c>
      <c r="BH24" s="43" t="str">
        <f>IFERROR(VLOOKUP(BH20,'[1]M 기준정보'!$B$5:$F$49936,5,0)*생산계획!BH22,"")</f>
        <v/>
      </c>
      <c r="BI24" s="43" t="str">
        <f>IFERROR(VLOOKUP(BI20,'[1]M 기준정보'!$B$5:$F$49936,5,0)*생산계획!BI22,"")</f>
        <v/>
      </c>
      <c r="BJ24" s="43" t="str">
        <f>IFERROR(VLOOKUP(BJ20,'[1]M 기준정보'!$B$5:$F$49936,5,0)*생산계획!BJ22,"")</f>
        <v/>
      </c>
      <c r="BK24" s="43" t="str">
        <f>IFERROR(VLOOKUP(BK20,'[1]M 기준정보'!$B$5:$F$49936,5,0)*생산계획!BK22,"")</f>
        <v/>
      </c>
      <c r="BL24" s="43" t="str">
        <f>IFERROR(VLOOKUP(BL20,'[1]M 기준정보'!$B$5:$F$49936,5,0)*생산계획!BL22,"")</f>
        <v/>
      </c>
      <c r="BM24" s="43" t="str">
        <f>IFERROR(VLOOKUP(BM20,'[1]M 기준정보'!$B$5:$F$49936,5,0)*생산계획!BM22,"")</f>
        <v/>
      </c>
      <c r="BN24" s="43" t="str">
        <f>IFERROR(VLOOKUP(BN20,'[1]M 기준정보'!$B$5:$F$49936,5,0)*생산계획!BN22,"")</f>
        <v/>
      </c>
      <c r="BO24" s="43" t="str">
        <f>IFERROR(VLOOKUP(BO20,'[1]M 기준정보'!$B$5:$F$49936,5,0)*생산계획!BO22,"")</f>
        <v/>
      </c>
      <c r="BP24" s="43" t="str">
        <f>IFERROR(VLOOKUP(BP20,'[1]M 기준정보'!$B$5:$F$49936,5,0)*생산계획!BP22,"")</f>
        <v/>
      </c>
      <c r="BQ24" s="43" t="str">
        <f>IFERROR(VLOOKUP(BQ20,'[1]M 기준정보'!$B$5:$F$49936,5,0)*생산계획!BQ22,"")</f>
        <v/>
      </c>
      <c r="BR24" s="43" t="str">
        <f>IFERROR(VLOOKUP(BR20,'[1]M 기준정보'!$B$5:$F$49936,5,0)*생산계획!BR22,"")</f>
        <v/>
      </c>
      <c r="BS24" s="43" t="str">
        <f>IFERROR(VLOOKUP(BS20,'[1]M 기준정보'!$B$5:$F$49936,5,0)*생산계획!BS22,"")</f>
        <v/>
      </c>
      <c r="BT24" s="43" t="str">
        <f>IFERROR(VLOOKUP(BT20,'[1]M 기준정보'!$B$5:$F$49936,5,0)*생산계획!BT22,"")</f>
        <v/>
      </c>
      <c r="BU24" s="43" t="str">
        <f>IFERROR(VLOOKUP(BU20,'[1]M 기준정보'!$B$5:$F$49936,5,0)*생산계획!BU22,"")</f>
        <v/>
      </c>
      <c r="BV24" s="43" t="str">
        <f>IFERROR(VLOOKUP(BV20,'[1]M 기준정보'!$B$5:$F$49936,5,0)*생산계획!BV22,"")</f>
        <v/>
      </c>
      <c r="BW24" s="43" t="str">
        <f>IFERROR(VLOOKUP(BW20,'[1]M 기준정보'!$B$5:$F$49936,5,0)*생산계획!BW22,"")</f>
        <v/>
      </c>
      <c r="BX24" s="43" t="str">
        <f>IFERROR(VLOOKUP(BX20,'[1]M 기준정보'!$B$5:$F$49936,5,0)*생산계획!BX22,"")</f>
        <v/>
      </c>
      <c r="BY24" s="43" t="str">
        <f>IFERROR(VLOOKUP(BY20,'[1]M 기준정보'!$B$5:$F$49936,5,0)*생산계획!BY22,"")</f>
        <v/>
      </c>
      <c r="BZ24" s="43" t="str">
        <f>IFERROR(VLOOKUP(BZ20,'[1]M 기준정보'!$B$5:$F$49936,5,0)*생산계획!BZ22,"")</f>
        <v/>
      </c>
      <c r="CA24" s="43" t="str">
        <f>IFERROR(VLOOKUP(CA20,'[1]M 기준정보'!$B$5:$F$49936,5,0)*생산계획!CA22,"")</f>
        <v/>
      </c>
      <c r="CB24" s="43" t="str">
        <f>IFERROR(VLOOKUP(CB20,'[1]M 기준정보'!$B$5:$F$49936,5,0)*생산계획!CB22,"")</f>
        <v/>
      </c>
      <c r="CC24" s="43" t="str">
        <f>IFERROR(VLOOKUP(CC20,'[1]M 기준정보'!$B$5:$F$49936,5,0)*생산계획!CC22,"")</f>
        <v/>
      </c>
      <c r="CD24" s="43" t="str">
        <f>IFERROR(VLOOKUP(CD20,'[1]M 기준정보'!$B$5:$F$49936,5,0)*생산계획!CD22,"")</f>
        <v/>
      </c>
      <c r="CE24" s="43" t="str">
        <f>IFERROR(VLOOKUP(CE20,'[1]M 기준정보'!$B$5:$F$49936,5,0)*생산계획!CE22,"")</f>
        <v/>
      </c>
      <c r="CF24" s="43" t="str">
        <f>IFERROR(VLOOKUP(CF20,'[1]M 기준정보'!$B$5:$F$49936,5,0)*생산계획!CF22,"")</f>
        <v/>
      </c>
      <c r="CG24" s="43" t="str">
        <f>IFERROR(VLOOKUP(CG20,'[1]M 기준정보'!$B$5:$F$49936,5,0)*생산계획!CG22,"")</f>
        <v/>
      </c>
      <c r="CH24" s="43" t="str">
        <f>IFERROR(VLOOKUP(CH20,'[1]M 기준정보'!$B$5:$F$49936,5,0)*생산계획!CH22,"")</f>
        <v/>
      </c>
      <c r="CI24" s="43" t="str">
        <f>IFERROR(VLOOKUP(CI20,'[1]M 기준정보'!$B$5:$F$49936,5,0)*생산계획!CI22,"")</f>
        <v/>
      </c>
      <c r="CJ24" s="43" t="str">
        <f>IFERROR(VLOOKUP(CJ20,'[1]M 기준정보'!$B$5:$F$49936,5,0)*생산계획!CJ22,"")</f>
        <v/>
      </c>
      <c r="CK24" s="43" t="str">
        <f>IFERROR(VLOOKUP(CK20,'[1]M 기준정보'!$B$5:$F$49936,5,0)*생산계획!CK22,"")</f>
        <v/>
      </c>
      <c r="CL24" s="43" t="str">
        <f>IFERROR(VLOOKUP(CL20,'[1]M 기준정보'!$B$5:$F$49936,5,0)*생산계획!CL22,"")</f>
        <v/>
      </c>
      <c r="CM24" s="43" t="str">
        <f>IFERROR(VLOOKUP(CM20,'[1]M 기준정보'!$B$5:$F$49936,5,0)*생산계획!CM22,"")</f>
        <v/>
      </c>
      <c r="CN24" s="43" t="str">
        <f>IFERROR(VLOOKUP(CN20,'[1]M 기준정보'!$B$5:$F$49936,5,0)*생산계획!CN22,"")</f>
        <v/>
      </c>
      <c r="CO24" s="43" t="str">
        <f>IFERROR(VLOOKUP(CO20,'[1]M 기준정보'!$B$5:$F$49936,5,0)*생산계획!CO22,"")</f>
        <v/>
      </c>
      <c r="CP24" s="43" t="str">
        <f>IFERROR(VLOOKUP(CP20,'[1]M 기준정보'!$B$5:$F$49936,5,0)*생산계획!CP22,"")</f>
        <v/>
      </c>
      <c r="CQ24" s="43" t="str">
        <f>IFERROR(VLOOKUP(CQ20,'[1]M 기준정보'!$B$5:$F$49936,5,0)*생산계획!CQ22,"")</f>
        <v/>
      </c>
      <c r="CR24" s="43" t="str">
        <f>IFERROR(VLOOKUP(CR20,'[1]M 기준정보'!$B$5:$F$49936,5,0)*생산계획!CR22,"")</f>
        <v/>
      </c>
      <c r="CS24" s="43" t="str">
        <f>IFERROR(VLOOKUP(CS20,'[1]M 기준정보'!$B$5:$F$49936,5,0)*생산계획!CS22,"")</f>
        <v/>
      </c>
      <c r="CT24" s="43" t="str">
        <f>IFERROR(VLOOKUP(CT20,'[1]M 기준정보'!$B$5:$F$49936,5,0)*생산계획!CT22,"")</f>
        <v/>
      </c>
      <c r="CU24" s="43" t="str">
        <f>IFERROR(VLOOKUP(CU20,'[1]M 기준정보'!$B$5:$F$49936,5,0)*생산계획!CU22,"")</f>
        <v/>
      </c>
      <c r="CV24" s="43" t="str">
        <f>IFERROR(VLOOKUP(CV20,'[1]M 기준정보'!$B$5:$F$49936,5,0)*생산계획!CV22,"")</f>
        <v/>
      </c>
      <c r="CW24" s="43" t="str">
        <f>IFERROR(VLOOKUP(CW20,'[1]M 기준정보'!$B$5:$F$49936,5,0)*생산계획!CW22,"")</f>
        <v/>
      </c>
      <c r="CX24" s="43" t="str">
        <f>IFERROR(VLOOKUP(CX20,'[1]M 기준정보'!$B$5:$F$49936,5,0)*생산계획!CX22,"")</f>
        <v/>
      </c>
      <c r="CY24" s="43" t="str">
        <f>IFERROR(VLOOKUP(CY20,'[1]M 기준정보'!$B$5:$F$49936,5,0)*생산계획!CY22,"")</f>
        <v/>
      </c>
      <c r="CZ24" s="43" t="str">
        <f>IFERROR(VLOOKUP(CZ20,'[1]M 기준정보'!$B$5:$F$49936,5,0)*생산계획!CZ22,"")</f>
        <v/>
      </c>
      <c r="DA24" s="43" t="str">
        <f>IFERROR(VLOOKUP(DA20,'[1]M 기준정보'!$B$5:$F$49936,5,0)*생산계획!DA22,"")</f>
        <v/>
      </c>
      <c r="DB24" s="43" t="str">
        <f>IFERROR(VLOOKUP(DB20,'[1]M 기준정보'!$B$5:$F$49936,5,0)*생산계획!DB22,"")</f>
        <v/>
      </c>
      <c r="DC24" s="43" t="str">
        <f>IFERROR(VLOOKUP(DC20,'[1]M 기준정보'!$B$5:$F$49936,5,0)*생산계획!DC22,"")</f>
        <v/>
      </c>
      <c r="DD24" s="43" t="str">
        <f>IFERROR(VLOOKUP(DD20,'[1]M 기준정보'!$B$5:$F$49936,5,0)*생산계획!DD22,"")</f>
        <v/>
      </c>
      <c r="DE24" s="43" t="str">
        <f>IFERROR(VLOOKUP(DE20,'[1]M 기준정보'!$B$5:$F$49936,5,0)*생산계획!DE22,"")</f>
        <v/>
      </c>
      <c r="DF24" s="43" t="str">
        <f>IFERROR(VLOOKUP(DF20,'[1]M 기준정보'!$B$5:$F$49936,5,0)*생산계획!DF22,"")</f>
        <v/>
      </c>
      <c r="DG24" s="43" t="str">
        <f>IFERROR(VLOOKUP(DG20,'[1]M 기준정보'!$B$5:$F$49936,5,0)*생산계획!DG22,"")</f>
        <v/>
      </c>
      <c r="DH24" s="43" t="str">
        <f>IFERROR(VLOOKUP(DH20,'[1]M 기준정보'!$B$5:$F$49936,5,0)*생산계획!DH22,"")</f>
        <v/>
      </c>
      <c r="DI24" s="43" t="str">
        <f>IFERROR(VLOOKUP(DI20,'[1]M 기준정보'!$B$5:$F$49936,5,0)*생산계획!DI22,"")</f>
        <v/>
      </c>
      <c r="DJ24" s="43" t="str">
        <f>IFERROR(VLOOKUP(DJ20,'[1]M 기준정보'!$B$5:$F$49936,5,0)*생산계획!DJ22,"")</f>
        <v/>
      </c>
      <c r="DK24" s="43" t="str">
        <f>IFERROR(VLOOKUP(DK20,'[1]M 기준정보'!$B$5:$F$49936,5,0)*생산계획!DK22,"")</f>
        <v/>
      </c>
      <c r="DL24" s="43" t="str">
        <f>IFERROR(VLOOKUP(DL20,'[1]M 기준정보'!$B$5:$F$49936,5,0)*생산계획!DL22,"")</f>
        <v/>
      </c>
      <c r="DM24" s="43" t="str">
        <f>IFERROR(VLOOKUP(DM20,'[1]M 기준정보'!$B$5:$F$49936,5,0)*생산계획!DM22,"")</f>
        <v/>
      </c>
      <c r="DN24" s="43" t="str">
        <f>IFERROR(VLOOKUP(DN20,'[1]M 기준정보'!$B$5:$F$49936,5,0)*생산계획!DN22,"")</f>
        <v/>
      </c>
      <c r="DO24" s="43" t="str">
        <f>IFERROR(VLOOKUP(DO20,'[1]M 기준정보'!$B$5:$F$49936,5,0)*생산계획!DO22,"")</f>
        <v/>
      </c>
      <c r="DP24" s="43" t="str">
        <f>IFERROR(VLOOKUP(DP20,'[1]M 기준정보'!$B$5:$F$49936,5,0)*생산계획!DP22,"")</f>
        <v/>
      </c>
      <c r="DQ24" s="43" t="str">
        <f>IFERROR(VLOOKUP(DQ20,'[1]M 기준정보'!$B$5:$F$49936,5,0)*생산계획!DQ22,"")</f>
        <v/>
      </c>
      <c r="DR24" s="43" t="str">
        <f>IFERROR(VLOOKUP(DR20,'[1]M 기준정보'!$B$5:$F$49936,5,0)*생산계획!DR22,"")</f>
        <v/>
      </c>
      <c r="DS24" s="43" t="str">
        <f>IFERROR(VLOOKUP(DS20,'[1]M 기준정보'!$B$5:$F$49936,5,0)*생산계획!DS22,"")</f>
        <v/>
      </c>
      <c r="DT24" s="43" t="str">
        <f>IFERROR(VLOOKUP(DT20,'[1]M 기준정보'!$B$5:$F$49936,5,0)*생산계획!DT22,"")</f>
        <v/>
      </c>
      <c r="DU24" s="43" t="str">
        <f>IFERROR(VLOOKUP(DU20,'[1]M 기준정보'!$B$5:$F$49936,5,0)*생산계획!DU22,"")</f>
        <v/>
      </c>
      <c r="DV24" s="43" t="str">
        <f>IFERROR(VLOOKUP(DV20,'[1]M 기준정보'!$B$5:$F$49936,5,0)*생산계획!DV22,"")</f>
        <v/>
      </c>
      <c r="DW24" s="43" t="str">
        <f>IFERROR(VLOOKUP(DW20,'[1]M 기준정보'!$B$5:$F$49936,5,0)*생산계획!DW22,"")</f>
        <v/>
      </c>
      <c r="DX24" s="43" t="str">
        <f>IFERROR(VLOOKUP(DX20,'[1]M 기준정보'!$B$5:$F$49936,5,0)*생산계획!DX22,"")</f>
        <v/>
      </c>
      <c r="DY24" s="43" t="str">
        <f>IFERROR(VLOOKUP(DY20,'[1]M 기준정보'!$B$5:$F$49936,5,0)*생산계획!DY22,"")</f>
        <v/>
      </c>
      <c r="DZ24" s="43" t="str">
        <f>IFERROR(VLOOKUP(DZ20,'[1]M 기준정보'!$B$5:$F$49936,5,0)*생산계획!DZ22,"")</f>
        <v/>
      </c>
      <c r="EA24" s="43" t="str">
        <f>IFERROR(VLOOKUP(EA20,'[1]M 기준정보'!$B$5:$F$49936,5,0)*생산계획!EA22,"")</f>
        <v/>
      </c>
      <c r="EB24" s="43" t="str">
        <f>IFERROR(VLOOKUP(EB20,'[1]M 기준정보'!$B$5:$F$49936,5,0)*생산계획!EB22,"")</f>
        <v/>
      </c>
      <c r="EC24" s="43" t="str">
        <f>IFERROR(VLOOKUP(EC20,'[1]M 기준정보'!$B$5:$F$49936,5,0)*생산계획!EC22,"")</f>
        <v/>
      </c>
      <c r="ED24" s="43" t="str">
        <f>IFERROR(VLOOKUP(ED20,'[1]M 기준정보'!$B$5:$F$49936,5,0)*생산계획!ED22,"")</f>
        <v/>
      </c>
      <c r="EE24" s="43" t="str">
        <f>IFERROR(VLOOKUP(EE20,'[1]M 기준정보'!$B$5:$F$49936,5,0)*생산계획!EE22,"")</f>
        <v/>
      </c>
      <c r="EF24" s="43" t="str">
        <f>IFERROR(VLOOKUP(EF20,'[1]M 기준정보'!$B$5:$F$49936,5,0)*생산계획!EF22,"")</f>
        <v/>
      </c>
    </row>
    <row r="25" spans="1:136" ht="5.25" customHeight="1" thickBot="1" x14ac:dyDescent="0.35">
      <c r="A25" s="44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</row>
    <row r="26" spans="1:136" ht="22.5" customHeight="1" x14ac:dyDescent="0.3">
      <c r="A26" s="47" t="s">
        <v>65</v>
      </c>
      <c r="B26" s="48" t="s">
        <v>15</v>
      </c>
      <c r="C26" s="41" t="s">
        <v>61</v>
      </c>
      <c r="D26" s="41" t="s">
        <v>61</v>
      </c>
      <c r="E26" s="41" t="s">
        <v>61</v>
      </c>
      <c r="F26" s="41" t="s">
        <v>61</v>
      </c>
      <c r="G26" s="16"/>
      <c r="H26" s="16"/>
      <c r="I26" s="41" t="s">
        <v>61</v>
      </c>
      <c r="J26" s="41" t="s">
        <v>61</v>
      </c>
      <c r="K26" s="17" t="s">
        <v>17</v>
      </c>
      <c r="L26" s="41" t="s">
        <v>61</v>
      </c>
      <c r="M26" s="41" t="s">
        <v>61</v>
      </c>
      <c r="N26" s="16"/>
      <c r="O26" s="16"/>
      <c r="P26" s="37" t="s">
        <v>45</v>
      </c>
      <c r="Q26" s="41" t="s">
        <v>61</v>
      </c>
      <c r="R26" s="41" t="s">
        <v>61</v>
      </c>
      <c r="S26" s="18" t="s">
        <v>18</v>
      </c>
      <c r="T26" s="38" t="s">
        <v>48</v>
      </c>
      <c r="U26" s="16"/>
      <c r="V26" s="16"/>
      <c r="W26" s="35" t="s">
        <v>42</v>
      </c>
      <c r="X26" s="16"/>
      <c r="Y26" s="16"/>
      <c r="Z26" s="19" t="s">
        <v>19</v>
      </c>
      <c r="AA26" s="16"/>
      <c r="AB26" s="16"/>
      <c r="AC26" s="16"/>
      <c r="AD26" s="16"/>
      <c r="AE26" s="16"/>
      <c r="AF26" s="21" t="s">
        <v>21</v>
      </c>
      <c r="AG26" s="16"/>
      <c r="AH26" s="16"/>
      <c r="AI26" s="16"/>
      <c r="AJ26" s="16"/>
      <c r="AK26" s="16"/>
      <c r="AL26" s="16"/>
      <c r="AM26" s="16"/>
      <c r="AN26" s="15" t="s">
        <v>16</v>
      </c>
      <c r="AO26" s="16"/>
      <c r="AP26" s="16"/>
      <c r="AQ26" s="16"/>
      <c r="AR26" s="16"/>
      <c r="AS26" s="16"/>
      <c r="AT26" s="16"/>
      <c r="AU26" s="15" t="s">
        <v>16</v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</row>
    <row r="27" spans="1:136" ht="24" customHeight="1" x14ac:dyDescent="0.3">
      <c r="A27" s="49"/>
      <c r="B27" s="23" t="s">
        <v>66</v>
      </c>
      <c r="C27" s="50" t="str">
        <f>IFERROR(VLOOKUP(C26,'[1]M 기준정보'!$B$5:$C$49936,2,0),"")</f>
        <v>CPS7150 BGF(CU향) POS</v>
      </c>
      <c r="D27" s="50" t="str">
        <f>IFERROR(VLOOKUP(D26,'[1]M 기준정보'!$B$5:$C$49936,2,0),"")</f>
        <v>CPS7150 BGF(CU향) POS</v>
      </c>
      <c r="E27" s="50" t="str">
        <f>IFERROR(VLOOKUP(E26,'[1]M 기준정보'!$B$5:$C$49936,2,0),"")</f>
        <v>CPS7150 BGF(CU향) POS</v>
      </c>
      <c r="F27" s="50" t="str">
        <f>IFERROR(VLOOKUP(F26,'[1]M 기준정보'!$B$5:$C$49936,2,0),"")</f>
        <v>CPS7150 BGF(CU향) POS</v>
      </c>
      <c r="G27" s="50" t="str">
        <f>IFERROR(VLOOKUP(G26,'[1]M 기준정보'!$B$5:$C$49936,2,0),"")</f>
        <v/>
      </c>
      <c r="H27" s="50" t="str">
        <f>IFERROR(VLOOKUP(H26,'[1]M 기준정보'!$B$5:$C$49936,2,0),"")</f>
        <v/>
      </c>
      <c r="I27" s="50" t="str">
        <f>IFERROR(VLOOKUP(I26,'[1]M 기준정보'!$B$5:$C$49936,2,0),"")</f>
        <v>CPS7150 BGF(CU향) POS</v>
      </c>
      <c r="J27" s="50" t="str">
        <f>IFERROR(VLOOKUP(J26,'[1]M 기준정보'!$B$5:$C$49936,2,0),"")</f>
        <v>CPS7150 BGF(CU향) POS</v>
      </c>
      <c r="K27" s="50" t="str">
        <f>IFERROR(VLOOKUP(K26,'[1]M 기준정보'!$B$5:$C$49936,2,0),"")</f>
        <v>EPS7133 스타벅스 탁상用</v>
      </c>
      <c r="L27" s="50" t="str">
        <f>IFERROR(VLOOKUP(L26,'[1]M 기준정보'!$B$5:$C$49936,2,0),"")</f>
        <v>CPS7150 BGF(CU향) POS</v>
      </c>
      <c r="M27" s="50" t="str">
        <f>IFERROR(VLOOKUP(M26,'[1]M 기준정보'!$B$5:$C$49936,2,0),"")</f>
        <v>CPS7150 BGF(CU향) POS</v>
      </c>
      <c r="N27" s="50" t="str">
        <f>IFERROR(VLOOKUP(N26,'[1]M 기준정보'!$B$5:$C$49936,2,0),"")</f>
        <v/>
      </c>
      <c r="O27" s="50" t="str">
        <f>IFERROR(VLOOKUP(O26,'[1]M 기준정보'!$B$5:$C$49936,2,0),"")</f>
        <v/>
      </c>
      <c r="P27" s="50" t="str">
        <f>IFERROR(VLOOKUP(P26,'[1]M 기준정보'!$B$5:$C$49936,2,0),"")</f>
        <v>T20i (i3-12세대) DUAL ,PP211[이마트24]</v>
      </c>
      <c r="Q27" s="50" t="str">
        <f>IFERROR(VLOOKUP(Q26,'[1]M 기준정보'!$B$5:$C$49936,2,0),"")</f>
        <v>CPS7150 BGF(CU향) POS</v>
      </c>
      <c r="R27" s="50" t="str">
        <f>IFERROR(VLOOKUP(R26,'[1]M 기준정보'!$B$5:$C$49936,2,0),"")</f>
        <v>CPS7150 BGF(CU향) POS</v>
      </c>
      <c r="S27" s="50" t="str">
        <f>IFERROR(VLOOKUP(S26,'[1]M 기준정보'!$B$5:$C$49936,2,0),"")</f>
        <v>S6133 GRIFFIN [13.3"] [Junifer]</v>
      </c>
      <c r="T27" s="50" t="str">
        <f>IFERROR(VLOOKUP(T26,'[1]M 기준정보'!$B$5:$C$49936,2,0),"")</f>
        <v>EPS7150 DUAL [i5 11세대 이마트몰]</v>
      </c>
      <c r="U27" s="50" t="str">
        <f>IFERROR(VLOOKUP(U26,'[1]M 기준정보'!$B$5:$C$49936,2,0),"")</f>
        <v/>
      </c>
      <c r="V27" s="50" t="str">
        <f>IFERROR(VLOOKUP(V26,'[1]M 기준정보'!$B$5:$C$49936,2,0),"")</f>
        <v/>
      </c>
      <c r="W27" s="50" t="str">
        <f>IFERROR(VLOOKUP(W26,'[1]M 기준정보'!$B$5:$C$49936,2,0),"")</f>
        <v>SST6000LD</v>
      </c>
      <c r="X27" s="50" t="str">
        <f>IFERROR(VLOOKUP(X26,'[1]M 기준정보'!$B$5:$C$49936,2,0),"")</f>
        <v/>
      </c>
      <c r="Y27" s="50" t="str">
        <f>IFERROR(VLOOKUP(Y26,'[1]M 기준정보'!$B$5:$C$49936,2,0),"")</f>
        <v/>
      </c>
      <c r="Z27" s="50" t="str">
        <f>IFERROR(VLOOKUP(Z26,'[1]M 기준정보'!$B$5:$C$49936,2,0),"")</f>
        <v>ALPINION KM</v>
      </c>
      <c r="AA27" s="50" t="str">
        <f>IFERROR(VLOOKUP(AA26,'[1]M 기준정보'!$B$5:$C$49936,2,0),"")</f>
        <v/>
      </c>
      <c r="AB27" s="50" t="str">
        <f>IFERROR(VLOOKUP(AB26,'[1]M 기준정보'!$B$5:$C$49936,2,0),"")</f>
        <v/>
      </c>
      <c r="AC27" s="50" t="str">
        <f>IFERROR(VLOOKUP(AC26,'[1]M 기준정보'!$B$5:$C$49936,2,0),"")</f>
        <v/>
      </c>
      <c r="AD27" s="50" t="str">
        <f>IFERROR(VLOOKUP(AD26,'[1]M 기준정보'!$B$5:$C$49936,2,0),"")</f>
        <v/>
      </c>
      <c r="AE27" s="50" t="str">
        <f>IFERROR(VLOOKUP(AE26,'[1]M 기준정보'!$B$5:$C$49936,2,0),"")</f>
        <v/>
      </c>
      <c r="AF27" s="50" t="str">
        <f>IFERROR(VLOOKUP(AF26,'[1]M 기준정보'!$B$5:$C$49936,2,0),"")</f>
        <v>S6133 K2 지멘스 [13.3"]</v>
      </c>
      <c r="AG27" s="50" t="str">
        <f>IFERROR(VLOOKUP(AG26,'[1]M 기준정보'!$B$5:$C$49936,2,0),"")</f>
        <v/>
      </c>
      <c r="AH27" s="50" t="str">
        <f>IFERROR(VLOOKUP(AH26,'[1]M 기준정보'!$B$5:$C$49936,2,0),"")</f>
        <v/>
      </c>
      <c r="AI27" s="50" t="str">
        <f>IFERROR(VLOOKUP(AI26,'[1]M 기준정보'!$B$5:$C$49936,2,0),"")</f>
        <v/>
      </c>
      <c r="AJ27" s="50" t="str">
        <f>IFERROR(VLOOKUP(AJ26,'[1]M 기준정보'!$B$5:$C$49936,2,0),"")</f>
        <v/>
      </c>
      <c r="AK27" s="50" t="str">
        <f>IFERROR(VLOOKUP(AK26,'[1]M 기준정보'!$B$5:$C$49936,2,0),"")</f>
        <v/>
      </c>
      <c r="AL27" s="50" t="str">
        <f>IFERROR(VLOOKUP(AL26,'[1]M 기준정보'!$B$5:$C$49936,2,0),"")</f>
        <v/>
      </c>
      <c r="AM27" s="50" t="str">
        <f>IFERROR(VLOOKUP(AM26,'[1]M 기준정보'!$B$5:$C$49936,2,0),"")</f>
        <v/>
      </c>
      <c r="AN27" s="50" t="str">
        <f>IFERROR(VLOOKUP(AN26,'[1]M 기준정보'!$B$5:$C$49936,2,0),"")</f>
        <v>S6133-NT(NEW TREE)</v>
      </c>
      <c r="AO27" s="50" t="str">
        <f>IFERROR(VLOOKUP(AO26,'[1]M 기준정보'!$B$5:$C$49936,2,0),"")</f>
        <v/>
      </c>
      <c r="AP27" s="50" t="str">
        <f>IFERROR(VLOOKUP(AP26,'[1]M 기준정보'!$B$5:$C$49936,2,0),"")</f>
        <v/>
      </c>
      <c r="AQ27" s="50" t="str">
        <f>IFERROR(VLOOKUP(AQ26,'[1]M 기준정보'!$B$5:$C$49936,2,0),"")</f>
        <v/>
      </c>
      <c r="AR27" s="50" t="str">
        <f>IFERROR(VLOOKUP(AR26,'[1]M 기준정보'!$B$5:$C$49936,2,0),"")</f>
        <v/>
      </c>
      <c r="AS27" s="50" t="str">
        <f>IFERROR(VLOOKUP(AS26,'[1]M 기준정보'!$B$5:$C$49936,2,0),"")</f>
        <v/>
      </c>
      <c r="AT27" s="50" t="str">
        <f>IFERROR(VLOOKUP(AT26,'[1]M 기준정보'!$B$5:$C$49936,2,0),"")</f>
        <v/>
      </c>
      <c r="AU27" s="50" t="str">
        <f>IFERROR(VLOOKUP(AU26,'[1]M 기준정보'!$B$5:$C$49936,2,0),"")</f>
        <v>S6133-NT(NEW TREE)</v>
      </c>
      <c r="AV27" s="50" t="str">
        <f>IFERROR(VLOOKUP(AV26,'[1]M 기준정보'!$B$5:$C$49936,2,0),"")</f>
        <v/>
      </c>
      <c r="AW27" s="50" t="str">
        <f>IFERROR(VLOOKUP(AW26,'[1]M 기준정보'!$B$5:$C$49936,2,0),"")</f>
        <v/>
      </c>
      <c r="AX27" s="50" t="str">
        <f>IFERROR(VLOOKUP(AX26,'[1]M 기준정보'!$B$5:$C$49936,2,0),"")</f>
        <v/>
      </c>
      <c r="AY27" s="50" t="str">
        <f>IFERROR(VLOOKUP(AY26,'[1]M 기준정보'!$B$5:$C$49936,2,0),"")</f>
        <v/>
      </c>
      <c r="AZ27" s="50" t="str">
        <f>IFERROR(VLOOKUP(AZ26,'[1]M 기준정보'!$B$5:$C$49936,2,0),"")</f>
        <v/>
      </c>
      <c r="BA27" s="50" t="str">
        <f>IFERROR(VLOOKUP(BA26,'[1]M 기준정보'!$B$5:$C$49936,2,0),"")</f>
        <v/>
      </c>
      <c r="BB27" s="50" t="str">
        <f>IFERROR(VLOOKUP(BB26,'[1]M 기준정보'!$B$5:$C$49936,2,0),"")</f>
        <v/>
      </c>
      <c r="BC27" s="50" t="str">
        <f>IFERROR(VLOOKUP(BC26,'[1]M 기준정보'!$B$5:$C$49936,2,0),"")</f>
        <v/>
      </c>
      <c r="BD27" s="50" t="str">
        <f>IFERROR(VLOOKUP(BD26,'[1]M 기준정보'!$B$5:$C$49936,2,0),"")</f>
        <v/>
      </c>
      <c r="BE27" s="50" t="str">
        <f>IFERROR(VLOOKUP(BE26,'[1]M 기준정보'!$B$5:$C$49936,2,0),"")</f>
        <v/>
      </c>
      <c r="BF27" s="50" t="str">
        <f>IFERROR(VLOOKUP(BF26,'[1]M 기준정보'!$B$5:$C$49936,2,0),"")</f>
        <v/>
      </c>
      <c r="BG27" s="50" t="str">
        <f>IFERROR(VLOOKUP(BG26,'[1]M 기준정보'!$B$5:$C$49936,2,0),"")</f>
        <v/>
      </c>
      <c r="BH27" s="50" t="str">
        <f>IFERROR(VLOOKUP(BH26,'[1]M 기준정보'!$B$5:$C$49936,2,0),"")</f>
        <v/>
      </c>
      <c r="BI27" s="50" t="str">
        <f>IFERROR(VLOOKUP(BI26,'[1]M 기준정보'!$B$5:$C$49936,2,0),"")</f>
        <v/>
      </c>
      <c r="BJ27" s="50" t="str">
        <f>IFERROR(VLOOKUP(BJ26,'[1]M 기준정보'!$B$5:$C$49936,2,0),"")</f>
        <v/>
      </c>
      <c r="BK27" s="50" t="str">
        <f>IFERROR(VLOOKUP(BK26,'[1]M 기준정보'!$B$5:$C$49936,2,0),"")</f>
        <v/>
      </c>
      <c r="BL27" s="50" t="str">
        <f>IFERROR(VLOOKUP(BL26,'[1]M 기준정보'!$B$5:$C$49936,2,0),"")</f>
        <v/>
      </c>
      <c r="BM27" s="50" t="str">
        <f>IFERROR(VLOOKUP(BM26,'[1]M 기준정보'!$B$5:$C$49936,2,0),"")</f>
        <v/>
      </c>
      <c r="BN27" s="50" t="str">
        <f>IFERROR(VLOOKUP(BN26,'[1]M 기준정보'!$B$5:$C$49936,2,0),"")</f>
        <v/>
      </c>
      <c r="BO27" s="50" t="str">
        <f>IFERROR(VLOOKUP(BO26,'[1]M 기준정보'!$B$5:$C$49936,2,0),"")</f>
        <v/>
      </c>
      <c r="BP27" s="50" t="str">
        <f>IFERROR(VLOOKUP(BP26,'[1]M 기준정보'!$B$5:$C$49936,2,0),"")</f>
        <v/>
      </c>
      <c r="BQ27" s="50" t="str">
        <f>IFERROR(VLOOKUP(BQ26,'[1]M 기준정보'!$B$5:$C$49936,2,0),"")</f>
        <v/>
      </c>
      <c r="BR27" s="50" t="str">
        <f>IFERROR(VLOOKUP(BR26,'[1]M 기준정보'!$B$5:$C$49936,2,0),"")</f>
        <v/>
      </c>
      <c r="BS27" s="50" t="str">
        <f>IFERROR(VLOOKUP(BS26,'[1]M 기준정보'!$B$5:$C$49936,2,0),"")</f>
        <v/>
      </c>
      <c r="BT27" s="50" t="str">
        <f>IFERROR(VLOOKUP(BT26,'[1]M 기준정보'!$B$5:$C$49936,2,0),"")</f>
        <v/>
      </c>
      <c r="BU27" s="50" t="str">
        <f>IFERROR(VLOOKUP(BU26,'[1]M 기준정보'!$B$5:$C$49936,2,0),"")</f>
        <v/>
      </c>
      <c r="BV27" s="50" t="str">
        <f>IFERROR(VLOOKUP(BV26,'[1]M 기준정보'!$B$5:$C$49936,2,0),"")</f>
        <v/>
      </c>
      <c r="BW27" s="50" t="str">
        <f>IFERROR(VLOOKUP(BW26,'[1]M 기준정보'!$B$5:$C$49936,2,0),"")</f>
        <v/>
      </c>
      <c r="BX27" s="50" t="str">
        <f>IFERROR(VLOOKUP(BX26,'[1]M 기준정보'!$B$5:$C$49936,2,0),"")</f>
        <v/>
      </c>
      <c r="BY27" s="50" t="str">
        <f>IFERROR(VLOOKUP(BY26,'[1]M 기준정보'!$B$5:$C$49936,2,0),"")</f>
        <v/>
      </c>
      <c r="BZ27" s="50" t="str">
        <f>IFERROR(VLOOKUP(BZ26,'[1]M 기준정보'!$B$5:$C$49936,2,0),"")</f>
        <v/>
      </c>
      <c r="CA27" s="50" t="str">
        <f>IFERROR(VLOOKUP(CA26,'[1]M 기준정보'!$B$5:$C$49936,2,0),"")</f>
        <v/>
      </c>
      <c r="CB27" s="50" t="str">
        <f>IFERROR(VLOOKUP(CB26,'[1]M 기준정보'!$B$5:$C$49936,2,0),"")</f>
        <v/>
      </c>
      <c r="CC27" s="50" t="str">
        <f>IFERROR(VLOOKUP(CC26,'[1]M 기준정보'!$B$5:$C$49936,2,0),"")</f>
        <v/>
      </c>
      <c r="CD27" s="50" t="str">
        <f>IFERROR(VLOOKUP(CD26,'[1]M 기준정보'!$B$5:$C$49936,2,0),"")</f>
        <v/>
      </c>
      <c r="CE27" s="50" t="str">
        <f>IFERROR(VLOOKUP(CE26,'[1]M 기준정보'!$B$5:$C$49936,2,0),"")</f>
        <v/>
      </c>
      <c r="CF27" s="50" t="str">
        <f>IFERROR(VLOOKUP(CF26,'[1]M 기준정보'!$B$5:$C$49936,2,0),"")</f>
        <v/>
      </c>
      <c r="CG27" s="50" t="str">
        <f>IFERROR(VLOOKUP(CG26,'[1]M 기준정보'!$B$5:$C$49936,2,0),"")</f>
        <v/>
      </c>
      <c r="CH27" s="50" t="str">
        <f>IFERROR(VLOOKUP(CH26,'[1]M 기준정보'!$B$5:$C$49936,2,0),"")</f>
        <v/>
      </c>
      <c r="CI27" s="50" t="str">
        <f>IFERROR(VLOOKUP(CI26,'[1]M 기준정보'!$B$5:$C$49936,2,0),"")</f>
        <v/>
      </c>
      <c r="CJ27" s="50" t="str">
        <f>IFERROR(VLOOKUP(CJ26,'[1]M 기준정보'!$B$5:$C$49936,2,0),"")</f>
        <v/>
      </c>
      <c r="CK27" s="50" t="str">
        <f>IFERROR(VLOOKUP(CK26,'[1]M 기준정보'!$B$5:$C$49936,2,0),"")</f>
        <v/>
      </c>
      <c r="CL27" s="50" t="str">
        <f>IFERROR(VLOOKUP(CL26,'[1]M 기준정보'!$B$5:$C$49936,2,0),"")</f>
        <v/>
      </c>
      <c r="CM27" s="50" t="str">
        <f>IFERROR(VLOOKUP(CM26,'[1]M 기준정보'!$B$5:$C$49936,2,0),"")</f>
        <v/>
      </c>
      <c r="CN27" s="50" t="str">
        <f>IFERROR(VLOOKUP(CN26,'[1]M 기준정보'!$B$5:$C$49936,2,0),"")</f>
        <v/>
      </c>
      <c r="CO27" s="50" t="str">
        <f>IFERROR(VLOOKUP(CO26,'[1]M 기준정보'!$B$5:$C$49936,2,0),"")</f>
        <v/>
      </c>
      <c r="CP27" s="50" t="str">
        <f>IFERROR(VLOOKUP(CP26,'[1]M 기준정보'!$B$5:$C$49936,2,0),"")</f>
        <v/>
      </c>
      <c r="CQ27" s="50" t="str">
        <f>IFERROR(VLOOKUP(CQ26,'[1]M 기준정보'!$B$5:$C$49936,2,0),"")</f>
        <v/>
      </c>
      <c r="CR27" s="50" t="str">
        <f>IFERROR(VLOOKUP(CR26,'[1]M 기준정보'!$B$5:$C$49936,2,0),"")</f>
        <v/>
      </c>
      <c r="CS27" s="50" t="str">
        <f>IFERROR(VLOOKUP(CS26,'[1]M 기준정보'!$B$5:$C$49936,2,0),"")</f>
        <v/>
      </c>
      <c r="CT27" s="50" t="str">
        <f>IFERROR(VLOOKUP(CT26,'[1]M 기준정보'!$B$5:$C$49936,2,0),"")</f>
        <v/>
      </c>
      <c r="CU27" s="50" t="str">
        <f>IFERROR(VLOOKUP(CU26,'[1]M 기준정보'!$B$5:$C$49936,2,0),"")</f>
        <v/>
      </c>
      <c r="CV27" s="50" t="str">
        <f>IFERROR(VLOOKUP(CV26,'[1]M 기준정보'!$B$5:$C$49936,2,0),"")</f>
        <v/>
      </c>
      <c r="CW27" s="50" t="str">
        <f>IFERROR(VLOOKUP(CW26,'[1]M 기준정보'!$B$5:$C$49936,2,0),"")</f>
        <v/>
      </c>
      <c r="CX27" s="50" t="str">
        <f>IFERROR(VLOOKUP(CX26,'[1]M 기준정보'!$B$5:$C$49936,2,0),"")</f>
        <v/>
      </c>
      <c r="CY27" s="50" t="str">
        <f>IFERROR(VLOOKUP(CY26,'[1]M 기준정보'!$B$5:$C$49936,2,0),"")</f>
        <v/>
      </c>
      <c r="CZ27" s="50" t="str">
        <f>IFERROR(VLOOKUP(CZ26,'[1]M 기준정보'!$B$5:$C$49936,2,0),"")</f>
        <v/>
      </c>
      <c r="DA27" s="50" t="str">
        <f>IFERROR(VLOOKUP(DA26,'[1]M 기준정보'!$B$5:$C$49936,2,0),"")</f>
        <v/>
      </c>
      <c r="DB27" s="50" t="str">
        <f>IFERROR(VLOOKUP(DB26,'[1]M 기준정보'!$B$5:$C$49936,2,0),"")</f>
        <v/>
      </c>
      <c r="DC27" s="50" t="str">
        <f>IFERROR(VLOOKUP(DC26,'[1]M 기준정보'!$B$5:$C$49936,2,0),"")</f>
        <v/>
      </c>
      <c r="DD27" s="50" t="str">
        <f>IFERROR(VLOOKUP(DD26,'[1]M 기준정보'!$B$5:$C$49936,2,0),"")</f>
        <v/>
      </c>
      <c r="DE27" s="50" t="str">
        <f>IFERROR(VLOOKUP(DE26,'[1]M 기준정보'!$B$5:$C$49936,2,0),"")</f>
        <v/>
      </c>
      <c r="DF27" s="50" t="str">
        <f>IFERROR(VLOOKUP(DF26,'[1]M 기준정보'!$B$5:$C$49936,2,0),"")</f>
        <v/>
      </c>
      <c r="DG27" s="50" t="str">
        <f>IFERROR(VLOOKUP(DG26,'[1]M 기준정보'!$B$5:$C$49936,2,0),"")</f>
        <v/>
      </c>
      <c r="DH27" s="50" t="str">
        <f>IFERROR(VLOOKUP(DH26,'[1]M 기준정보'!$B$5:$C$49936,2,0),"")</f>
        <v/>
      </c>
      <c r="DI27" s="50" t="str">
        <f>IFERROR(VLOOKUP(DI26,'[1]M 기준정보'!$B$5:$C$49936,2,0),"")</f>
        <v/>
      </c>
      <c r="DJ27" s="50" t="str">
        <f>IFERROR(VLOOKUP(DJ26,'[1]M 기준정보'!$B$5:$C$49936,2,0),"")</f>
        <v/>
      </c>
      <c r="DK27" s="50" t="str">
        <f>IFERROR(VLOOKUP(DK26,'[1]M 기준정보'!$B$5:$C$49936,2,0),"")</f>
        <v/>
      </c>
      <c r="DL27" s="50" t="str">
        <f>IFERROR(VLOOKUP(DL26,'[1]M 기준정보'!$B$5:$C$49936,2,0),"")</f>
        <v/>
      </c>
      <c r="DM27" s="50" t="str">
        <f>IFERROR(VLOOKUP(DM26,'[1]M 기준정보'!$B$5:$C$49936,2,0),"")</f>
        <v/>
      </c>
      <c r="DN27" s="50" t="str">
        <f>IFERROR(VLOOKUP(DN26,'[1]M 기준정보'!$B$5:$C$49936,2,0),"")</f>
        <v/>
      </c>
      <c r="DO27" s="50" t="str">
        <f>IFERROR(VLOOKUP(DO26,'[1]M 기준정보'!$B$5:$C$49936,2,0),"")</f>
        <v/>
      </c>
      <c r="DP27" s="50" t="str">
        <f>IFERROR(VLOOKUP(DP26,'[1]M 기준정보'!$B$5:$C$49936,2,0),"")</f>
        <v/>
      </c>
      <c r="DQ27" s="50" t="str">
        <f>IFERROR(VLOOKUP(DQ26,'[1]M 기준정보'!$B$5:$C$49936,2,0),"")</f>
        <v/>
      </c>
      <c r="DR27" s="50" t="str">
        <f>IFERROR(VLOOKUP(DR26,'[1]M 기준정보'!$B$5:$C$49936,2,0),"")</f>
        <v/>
      </c>
      <c r="DS27" s="50" t="str">
        <f>IFERROR(VLOOKUP(DS26,'[1]M 기준정보'!$B$5:$C$49936,2,0),"")</f>
        <v/>
      </c>
      <c r="DT27" s="50" t="str">
        <f>IFERROR(VLOOKUP(DT26,'[1]M 기준정보'!$B$5:$C$49936,2,0),"")</f>
        <v/>
      </c>
      <c r="DU27" s="50" t="str">
        <f>IFERROR(VLOOKUP(DU26,'[1]M 기준정보'!$B$5:$C$49936,2,0),"")</f>
        <v/>
      </c>
      <c r="DV27" s="50" t="str">
        <f>IFERROR(VLOOKUP(DV26,'[1]M 기준정보'!$B$5:$C$49936,2,0),"")</f>
        <v/>
      </c>
      <c r="DW27" s="50" t="str">
        <f>IFERROR(VLOOKUP(DW26,'[1]M 기준정보'!$B$5:$C$49936,2,0),"")</f>
        <v/>
      </c>
      <c r="DX27" s="50" t="str">
        <f>IFERROR(VLOOKUP(DX26,'[1]M 기준정보'!$B$5:$C$49936,2,0),"")</f>
        <v/>
      </c>
      <c r="DY27" s="50" t="str">
        <f>IFERROR(VLOOKUP(DY26,'[1]M 기준정보'!$B$5:$C$49936,2,0),"")</f>
        <v/>
      </c>
      <c r="DZ27" s="50" t="str">
        <f>IFERROR(VLOOKUP(DZ26,'[1]M 기준정보'!$B$5:$C$49936,2,0),"")</f>
        <v/>
      </c>
      <c r="EA27" s="50" t="str">
        <f>IFERROR(VLOOKUP(EA26,'[1]M 기준정보'!$B$5:$C$49936,2,0),"")</f>
        <v/>
      </c>
      <c r="EB27" s="50" t="str">
        <f>IFERROR(VLOOKUP(EB26,'[1]M 기준정보'!$B$5:$C$49936,2,0),"")</f>
        <v/>
      </c>
      <c r="EC27" s="50" t="str">
        <f>IFERROR(VLOOKUP(EC26,'[1]M 기준정보'!$B$5:$C$49936,2,0),"")</f>
        <v/>
      </c>
      <c r="ED27" s="50" t="str">
        <f>IFERROR(VLOOKUP(ED26,'[1]M 기준정보'!$B$5:$C$49936,2,0),"")</f>
        <v/>
      </c>
      <c r="EE27" s="50" t="str">
        <f>IFERROR(VLOOKUP(EE26,'[1]M 기준정보'!$B$5:$C$49936,2,0),"")</f>
        <v/>
      </c>
      <c r="EF27" s="50" t="str">
        <f>IFERROR(VLOOKUP(EF26,'[1]M 기준정보'!$B$5:$C$49936,2,0),"")</f>
        <v/>
      </c>
    </row>
    <row r="28" spans="1:136" ht="23.25" customHeight="1" thickBot="1" x14ac:dyDescent="0.35">
      <c r="A28" s="49"/>
      <c r="B28" s="51" t="s">
        <v>67</v>
      </c>
      <c r="C28" s="52" t="s">
        <v>68</v>
      </c>
      <c r="D28" s="52" t="s">
        <v>69</v>
      </c>
      <c r="E28" s="52" t="s">
        <v>70</v>
      </c>
      <c r="F28" s="52" t="s">
        <v>71</v>
      </c>
      <c r="G28" s="52"/>
      <c r="H28" s="52"/>
      <c r="I28" s="52" t="s">
        <v>72</v>
      </c>
      <c r="J28" s="52" t="s">
        <v>73</v>
      </c>
      <c r="K28" s="52" t="s">
        <v>74</v>
      </c>
      <c r="L28" s="52" t="s">
        <v>75</v>
      </c>
      <c r="M28" s="52" t="s">
        <v>75</v>
      </c>
      <c r="N28" s="52"/>
      <c r="O28" s="52"/>
      <c r="P28" s="52" t="s">
        <v>76</v>
      </c>
      <c r="Q28" s="52" t="s">
        <v>77</v>
      </c>
      <c r="R28" s="52" t="s">
        <v>77</v>
      </c>
      <c r="S28" s="52" t="s">
        <v>78</v>
      </c>
      <c r="T28" s="52" t="s">
        <v>79</v>
      </c>
      <c r="U28" s="52"/>
      <c r="V28" s="52"/>
      <c r="W28" s="52" t="s">
        <v>80</v>
      </c>
      <c r="X28" s="52"/>
      <c r="Y28" s="52"/>
      <c r="Z28" s="52" t="s">
        <v>81</v>
      </c>
      <c r="AA28" s="52"/>
      <c r="AB28" s="52"/>
      <c r="AC28" s="52"/>
      <c r="AD28" s="52"/>
      <c r="AE28" s="52"/>
      <c r="AF28" s="52" t="s">
        <v>82</v>
      </c>
      <c r="AG28" s="52"/>
      <c r="AH28" s="52"/>
      <c r="AI28" s="52"/>
      <c r="AJ28" s="52"/>
      <c r="AK28" s="52"/>
      <c r="AL28" s="52"/>
      <c r="AM28" s="52"/>
      <c r="AN28" s="52" t="s">
        <v>83</v>
      </c>
      <c r="AO28" s="52"/>
      <c r="AP28" s="52"/>
      <c r="AQ28" s="52"/>
      <c r="AR28" s="52"/>
      <c r="AS28" s="52"/>
      <c r="AT28" s="52"/>
      <c r="AU28" s="52" t="s">
        <v>84</v>
      </c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</row>
    <row r="29" spans="1:136" ht="23.25" hidden="1" customHeight="1" thickBot="1" x14ac:dyDescent="0.35">
      <c r="A29" s="49"/>
      <c r="B29" s="53"/>
      <c r="C29" s="54" t="str">
        <f t="shared" ref="C29:BN29" si="0">RIGHT(C28,3)</f>
        <v xml:space="preserve"> 20</v>
      </c>
      <c r="D29" s="54" t="str">
        <f t="shared" si="0"/>
        <v>3 5</v>
      </c>
      <c r="E29" s="54" t="str">
        <f t="shared" si="0"/>
        <v xml:space="preserve"> 26</v>
      </c>
      <c r="F29" s="54" t="str">
        <f t="shared" si="0"/>
        <v xml:space="preserve"> 27</v>
      </c>
      <c r="G29" s="54" t="str">
        <f t="shared" si="0"/>
        <v/>
      </c>
      <c r="H29" s="54" t="str">
        <f t="shared" si="0"/>
        <v/>
      </c>
      <c r="I29" s="54" t="str">
        <f t="shared" si="0"/>
        <v xml:space="preserve"> 20</v>
      </c>
      <c r="J29" s="54" t="str">
        <f t="shared" si="0"/>
        <v>5대)</v>
      </c>
      <c r="K29" s="54" t="str">
        <f t="shared" si="0"/>
        <v xml:space="preserve"> 16</v>
      </c>
      <c r="L29" s="54" t="str">
        <f t="shared" si="0"/>
        <v>5대)</v>
      </c>
      <c r="M29" s="54" t="str">
        <f t="shared" si="0"/>
        <v>5대)</v>
      </c>
      <c r="N29" s="54" t="str">
        <f t="shared" si="0"/>
        <v/>
      </c>
      <c r="O29" s="54" t="str">
        <f t="shared" si="0"/>
        <v/>
      </c>
      <c r="P29" s="54" t="str">
        <f t="shared" si="0"/>
        <v xml:space="preserve"> 70</v>
      </c>
      <c r="Q29" s="54" t="str">
        <f t="shared" si="0"/>
        <v xml:space="preserve"> 30</v>
      </c>
      <c r="R29" s="54" t="str">
        <f t="shared" si="0"/>
        <v xml:space="preserve"> 30</v>
      </c>
      <c r="S29" s="54" t="str">
        <f t="shared" si="0"/>
        <v xml:space="preserve"> 40</v>
      </c>
      <c r="T29" s="54" t="str">
        <f t="shared" si="0"/>
        <v xml:space="preserve"> 40</v>
      </c>
      <c r="U29" s="54" t="str">
        <f t="shared" si="0"/>
        <v/>
      </c>
      <c r="V29" s="54" t="str">
        <f t="shared" si="0"/>
        <v/>
      </c>
      <c r="W29" s="54" t="str">
        <f t="shared" si="0"/>
        <v xml:space="preserve"> 50</v>
      </c>
      <c r="X29" s="54" t="str">
        <f t="shared" si="0"/>
        <v/>
      </c>
      <c r="Y29" s="54" t="str">
        <f t="shared" si="0"/>
        <v/>
      </c>
      <c r="Z29" s="54" t="str">
        <f t="shared" si="0"/>
        <v xml:space="preserve"> 45</v>
      </c>
      <c r="AA29" s="54" t="str">
        <f t="shared" si="0"/>
        <v/>
      </c>
      <c r="AB29" s="54" t="str">
        <f t="shared" si="0"/>
        <v/>
      </c>
      <c r="AC29" s="54" t="str">
        <f t="shared" si="0"/>
        <v/>
      </c>
      <c r="AD29" s="54" t="str">
        <f t="shared" si="0"/>
        <v/>
      </c>
      <c r="AE29" s="54" t="str">
        <f t="shared" si="0"/>
        <v/>
      </c>
      <c r="AF29" s="54" t="str">
        <f t="shared" si="0"/>
        <v>0 4</v>
      </c>
      <c r="AG29" s="54" t="str">
        <f t="shared" si="0"/>
        <v/>
      </c>
      <c r="AH29" s="54" t="str">
        <f t="shared" si="0"/>
        <v/>
      </c>
      <c r="AI29" s="54" t="str">
        <f t="shared" si="0"/>
        <v/>
      </c>
      <c r="AJ29" s="54" t="str">
        <f t="shared" si="0"/>
        <v/>
      </c>
      <c r="AK29" s="54" t="str">
        <f t="shared" si="0"/>
        <v/>
      </c>
      <c r="AL29" s="54" t="str">
        <f t="shared" si="0"/>
        <v/>
      </c>
      <c r="AM29" s="54" t="str">
        <f t="shared" si="0"/>
        <v/>
      </c>
      <c r="AN29" s="54" t="str">
        <f t="shared" si="0"/>
        <v xml:space="preserve"> 60</v>
      </c>
      <c r="AO29" s="54" t="str">
        <f t="shared" si="0"/>
        <v/>
      </c>
      <c r="AP29" s="54" t="str">
        <f t="shared" si="0"/>
        <v/>
      </c>
      <c r="AQ29" s="54" t="str">
        <f t="shared" si="0"/>
        <v/>
      </c>
      <c r="AR29" s="54" t="str">
        <f t="shared" si="0"/>
        <v/>
      </c>
      <c r="AS29" s="54" t="str">
        <f t="shared" si="0"/>
        <v/>
      </c>
      <c r="AT29" s="54" t="str">
        <f t="shared" si="0"/>
        <v/>
      </c>
      <c r="AU29" s="54" t="str">
        <f t="shared" si="0"/>
        <v xml:space="preserve"> 60</v>
      </c>
      <c r="AV29" s="54" t="str">
        <f t="shared" si="0"/>
        <v/>
      </c>
      <c r="AW29" s="54" t="str">
        <f t="shared" si="0"/>
        <v/>
      </c>
      <c r="AX29" s="54" t="str">
        <f t="shared" si="0"/>
        <v/>
      </c>
      <c r="AY29" s="54" t="str">
        <f t="shared" si="0"/>
        <v/>
      </c>
      <c r="AZ29" s="54" t="str">
        <f t="shared" si="0"/>
        <v/>
      </c>
      <c r="BA29" s="54" t="str">
        <f t="shared" si="0"/>
        <v/>
      </c>
      <c r="BB29" s="54" t="str">
        <f t="shared" si="0"/>
        <v/>
      </c>
      <c r="BC29" s="54" t="str">
        <f t="shared" si="0"/>
        <v/>
      </c>
      <c r="BD29" s="54" t="str">
        <f t="shared" si="0"/>
        <v/>
      </c>
      <c r="BE29" s="54" t="str">
        <f t="shared" si="0"/>
        <v/>
      </c>
      <c r="BF29" s="54" t="str">
        <f t="shared" si="0"/>
        <v/>
      </c>
      <c r="BG29" s="54" t="str">
        <f t="shared" si="0"/>
        <v/>
      </c>
      <c r="BH29" s="54" t="str">
        <f t="shared" si="0"/>
        <v/>
      </c>
      <c r="BI29" s="54" t="str">
        <f t="shared" si="0"/>
        <v/>
      </c>
      <c r="BJ29" s="54" t="str">
        <f t="shared" si="0"/>
        <v/>
      </c>
      <c r="BK29" s="54" t="str">
        <f t="shared" si="0"/>
        <v/>
      </c>
      <c r="BL29" s="54" t="str">
        <f t="shared" si="0"/>
        <v/>
      </c>
      <c r="BM29" s="54" t="str">
        <f t="shared" si="0"/>
        <v/>
      </c>
      <c r="BN29" s="54" t="str">
        <f t="shared" si="0"/>
        <v/>
      </c>
      <c r="BO29" s="54" t="str">
        <f t="shared" ref="BO29:DZ29" si="1">RIGHT(BO28,3)</f>
        <v/>
      </c>
      <c r="BP29" s="54" t="str">
        <f t="shared" si="1"/>
        <v/>
      </c>
      <c r="BQ29" s="54" t="str">
        <f t="shared" si="1"/>
        <v/>
      </c>
      <c r="BR29" s="54" t="str">
        <f t="shared" si="1"/>
        <v/>
      </c>
      <c r="BS29" s="54" t="str">
        <f t="shared" si="1"/>
        <v/>
      </c>
      <c r="BT29" s="54" t="str">
        <f t="shared" si="1"/>
        <v/>
      </c>
      <c r="BU29" s="54" t="str">
        <f t="shared" si="1"/>
        <v/>
      </c>
      <c r="BV29" s="54" t="str">
        <f t="shared" si="1"/>
        <v/>
      </c>
      <c r="BW29" s="54" t="str">
        <f t="shared" si="1"/>
        <v/>
      </c>
      <c r="BX29" s="54" t="str">
        <f t="shared" si="1"/>
        <v/>
      </c>
      <c r="BY29" s="54" t="str">
        <f t="shared" si="1"/>
        <v/>
      </c>
      <c r="BZ29" s="54" t="str">
        <f t="shared" si="1"/>
        <v/>
      </c>
      <c r="CA29" s="54" t="str">
        <f t="shared" si="1"/>
        <v/>
      </c>
      <c r="CB29" s="54" t="str">
        <f t="shared" si="1"/>
        <v/>
      </c>
      <c r="CC29" s="54" t="str">
        <f t="shared" si="1"/>
        <v/>
      </c>
      <c r="CD29" s="54" t="str">
        <f t="shared" si="1"/>
        <v/>
      </c>
      <c r="CE29" s="54" t="str">
        <f t="shared" si="1"/>
        <v/>
      </c>
      <c r="CF29" s="54" t="str">
        <f t="shared" si="1"/>
        <v/>
      </c>
      <c r="CG29" s="54" t="str">
        <f t="shared" si="1"/>
        <v/>
      </c>
      <c r="CH29" s="54" t="str">
        <f t="shared" si="1"/>
        <v/>
      </c>
      <c r="CI29" s="54" t="str">
        <f t="shared" si="1"/>
        <v/>
      </c>
      <c r="CJ29" s="54" t="str">
        <f t="shared" si="1"/>
        <v/>
      </c>
      <c r="CK29" s="54" t="str">
        <f t="shared" si="1"/>
        <v/>
      </c>
      <c r="CL29" s="54" t="str">
        <f t="shared" si="1"/>
        <v/>
      </c>
      <c r="CM29" s="54" t="str">
        <f t="shared" si="1"/>
        <v/>
      </c>
      <c r="CN29" s="54" t="str">
        <f t="shared" si="1"/>
        <v/>
      </c>
      <c r="CO29" s="54" t="str">
        <f t="shared" si="1"/>
        <v/>
      </c>
      <c r="CP29" s="54" t="str">
        <f t="shared" si="1"/>
        <v/>
      </c>
      <c r="CQ29" s="54" t="str">
        <f t="shared" si="1"/>
        <v/>
      </c>
      <c r="CR29" s="54" t="str">
        <f t="shared" si="1"/>
        <v/>
      </c>
      <c r="CS29" s="54" t="str">
        <f t="shared" si="1"/>
        <v/>
      </c>
      <c r="CT29" s="54" t="str">
        <f t="shared" si="1"/>
        <v/>
      </c>
      <c r="CU29" s="54" t="str">
        <f t="shared" si="1"/>
        <v/>
      </c>
      <c r="CV29" s="54" t="str">
        <f t="shared" si="1"/>
        <v/>
      </c>
      <c r="CW29" s="54" t="str">
        <f t="shared" si="1"/>
        <v/>
      </c>
      <c r="CX29" s="54" t="str">
        <f t="shared" si="1"/>
        <v/>
      </c>
      <c r="CY29" s="54" t="str">
        <f t="shared" si="1"/>
        <v/>
      </c>
      <c r="CZ29" s="54" t="str">
        <f t="shared" si="1"/>
        <v/>
      </c>
      <c r="DA29" s="54" t="str">
        <f t="shared" si="1"/>
        <v/>
      </c>
      <c r="DB29" s="54" t="str">
        <f t="shared" si="1"/>
        <v/>
      </c>
      <c r="DC29" s="54" t="str">
        <f t="shared" si="1"/>
        <v/>
      </c>
      <c r="DD29" s="54" t="str">
        <f t="shared" si="1"/>
        <v/>
      </c>
      <c r="DE29" s="54" t="str">
        <f t="shared" si="1"/>
        <v/>
      </c>
      <c r="DF29" s="54" t="str">
        <f t="shared" si="1"/>
        <v/>
      </c>
      <c r="DG29" s="54" t="str">
        <f t="shared" si="1"/>
        <v/>
      </c>
      <c r="DH29" s="54" t="str">
        <f t="shared" si="1"/>
        <v/>
      </c>
      <c r="DI29" s="54" t="str">
        <f t="shared" si="1"/>
        <v/>
      </c>
      <c r="DJ29" s="54" t="str">
        <f t="shared" si="1"/>
        <v/>
      </c>
      <c r="DK29" s="54" t="str">
        <f t="shared" si="1"/>
        <v/>
      </c>
      <c r="DL29" s="54" t="str">
        <f t="shared" si="1"/>
        <v/>
      </c>
      <c r="DM29" s="54" t="str">
        <f t="shared" si="1"/>
        <v/>
      </c>
      <c r="DN29" s="54" t="str">
        <f t="shared" si="1"/>
        <v/>
      </c>
      <c r="DO29" s="54" t="str">
        <f t="shared" si="1"/>
        <v/>
      </c>
      <c r="DP29" s="54" t="str">
        <f t="shared" si="1"/>
        <v/>
      </c>
      <c r="DQ29" s="54" t="str">
        <f t="shared" si="1"/>
        <v/>
      </c>
      <c r="DR29" s="54" t="str">
        <f t="shared" si="1"/>
        <v/>
      </c>
      <c r="DS29" s="54" t="str">
        <f t="shared" si="1"/>
        <v/>
      </c>
      <c r="DT29" s="54" t="str">
        <f t="shared" si="1"/>
        <v/>
      </c>
      <c r="DU29" s="54" t="str">
        <f t="shared" si="1"/>
        <v/>
      </c>
      <c r="DV29" s="54" t="str">
        <f t="shared" si="1"/>
        <v/>
      </c>
      <c r="DW29" s="54" t="str">
        <f t="shared" si="1"/>
        <v/>
      </c>
      <c r="DX29" s="54" t="str">
        <f t="shared" si="1"/>
        <v/>
      </c>
      <c r="DY29" s="54" t="str">
        <f t="shared" si="1"/>
        <v/>
      </c>
      <c r="DZ29" s="54" t="str">
        <f t="shared" si="1"/>
        <v/>
      </c>
      <c r="EA29" s="54" t="str">
        <f t="shared" ref="EA29:EN29" si="2">RIGHT(EA28,3)</f>
        <v/>
      </c>
      <c r="EB29" s="54" t="str">
        <f t="shared" si="2"/>
        <v/>
      </c>
      <c r="EC29" s="54" t="str">
        <f t="shared" si="2"/>
        <v/>
      </c>
      <c r="ED29" s="54" t="str">
        <f t="shared" si="2"/>
        <v/>
      </c>
      <c r="EE29" s="54" t="str">
        <f t="shared" si="2"/>
        <v/>
      </c>
      <c r="EF29" s="54" t="str">
        <f t="shared" si="2"/>
        <v/>
      </c>
    </row>
    <row r="30" spans="1:136" ht="23.25" hidden="1" customHeight="1" thickBot="1" x14ac:dyDescent="0.35">
      <c r="A30" s="49"/>
      <c r="B30" s="30" t="s">
        <v>33</v>
      </c>
      <c r="C30" s="43">
        <f>IFERROR(VLOOKUP(C26,'[1]M 기준정보'!$B$5:$H$49936,6,0)*C29,"")</f>
        <v>8</v>
      </c>
      <c r="D30" s="43" t="str">
        <f>IFERROR(VLOOKUP(D26,'[1]M 기준정보'!$B$5:$H$49936,6,0)*D29,"")</f>
        <v/>
      </c>
      <c r="E30" s="43">
        <f>IFERROR(VLOOKUP(E26,'[1]M 기준정보'!$B$5:$H$49936,6,0)*E29,"")</f>
        <v>10.4</v>
      </c>
      <c r="F30" s="43">
        <f>IFERROR(VLOOKUP(F26,'[1]M 기준정보'!$B$5:$H$49936,6,0)*F29,"")</f>
        <v>10.8</v>
      </c>
      <c r="G30" s="43" t="str">
        <f>IFERROR(VLOOKUP(G26,'[1]M 기준정보'!$B$5:$H$49936,6,0)*G29,"")</f>
        <v/>
      </c>
      <c r="H30" s="43" t="str">
        <f>IFERROR(VLOOKUP(H26,'[1]M 기준정보'!$B$5:$H$49936,6,0)*H29,"")</f>
        <v/>
      </c>
      <c r="I30" s="43">
        <f>IFERROR(VLOOKUP(I26,'[1]M 기준정보'!$B$5:$H$49936,6,0)*I29,"")</f>
        <v>8</v>
      </c>
      <c r="J30" s="43" t="str">
        <f>IFERROR(VLOOKUP(J26,'[1]M 기준정보'!$B$5:$H$49936,6,0)*J29,"")</f>
        <v/>
      </c>
      <c r="K30" s="43">
        <f>IFERROR(VLOOKUP(K26,'[1]M 기준정보'!$B$5:$H$49936,6,0)*K29,"")</f>
        <v>1.44</v>
      </c>
      <c r="L30" s="43" t="str">
        <f>IFERROR(VLOOKUP(L26,'[1]M 기준정보'!$B$5:$H$49936,6,0)*L29,"")</f>
        <v/>
      </c>
      <c r="M30" s="43" t="str">
        <f>IFERROR(VLOOKUP(M26,'[1]M 기준정보'!$B$5:$H$49936,6,0)*M29,"")</f>
        <v/>
      </c>
      <c r="N30" s="43" t="str">
        <f>IFERROR(VLOOKUP(N26,'[1]M 기준정보'!$B$5:$H$49936,6,0)*N29,"")</f>
        <v/>
      </c>
      <c r="O30" s="43" t="str">
        <f>IFERROR(VLOOKUP(O26,'[1]M 기준정보'!$B$5:$H$49936,6,0)*O29,"")</f>
        <v/>
      </c>
      <c r="P30" s="43">
        <f>IFERROR(VLOOKUP(P26,'[1]M 기준정보'!$B$5:$H$49936,6,0)*P29,"")</f>
        <v>7</v>
      </c>
      <c r="Q30" s="43">
        <f>IFERROR(VLOOKUP(Q26,'[1]M 기준정보'!$B$5:$H$49936,6,0)*Q29,"")</f>
        <v>12</v>
      </c>
      <c r="R30" s="43">
        <f>IFERROR(VLOOKUP(R26,'[1]M 기준정보'!$B$5:$H$49936,6,0)*R29,"")</f>
        <v>12</v>
      </c>
      <c r="S30" s="43">
        <f>IFERROR(VLOOKUP(S26,'[1]M 기준정보'!$B$5:$H$49936,6,0)*S29,"")</f>
        <v>3.2</v>
      </c>
      <c r="T30" s="43">
        <f>IFERROR(VLOOKUP(T26,'[1]M 기준정보'!$B$5:$H$49936,6,0)*T29,"")</f>
        <v>4</v>
      </c>
      <c r="U30" s="43" t="str">
        <f>IFERROR(VLOOKUP(U26,'[1]M 기준정보'!$B$5:$H$49936,6,0)*U29,"")</f>
        <v/>
      </c>
      <c r="V30" s="43" t="str">
        <f>IFERROR(VLOOKUP(V26,'[1]M 기준정보'!$B$5:$H$49936,6,0)*V29,"")</f>
        <v/>
      </c>
      <c r="W30" s="43">
        <f>IFERROR(VLOOKUP(W26,'[1]M 기준정보'!$B$5:$H$49936,6,0)*W29,"")</f>
        <v>2.5</v>
      </c>
      <c r="X30" s="43" t="str">
        <f>IFERROR(VLOOKUP(X26,'[1]M 기준정보'!$B$5:$H$49936,6,0)*X29,"")</f>
        <v/>
      </c>
      <c r="Y30" s="43" t="str">
        <f>IFERROR(VLOOKUP(Y26,'[1]M 기준정보'!$B$5:$H$49936,6,0)*Y29,"")</f>
        <v/>
      </c>
      <c r="Z30" s="43">
        <f>IFERROR(VLOOKUP(Z26,'[1]M 기준정보'!$B$5:$H$49936,6,0)*Z29,"")</f>
        <v>3.6</v>
      </c>
      <c r="AA30" s="43" t="str">
        <f>IFERROR(VLOOKUP(AA26,'[1]M 기준정보'!$B$5:$H$49936,6,0)*AA29,"")</f>
        <v/>
      </c>
      <c r="AB30" s="43" t="str">
        <f>IFERROR(VLOOKUP(AB26,'[1]M 기준정보'!$B$5:$H$49936,6,0)*AB29,"")</f>
        <v/>
      </c>
      <c r="AC30" s="43" t="str">
        <f>IFERROR(VLOOKUP(AC26,'[1]M 기준정보'!$B$5:$H$49936,6,0)*AC29,"")</f>
        <v/>
      </c>
      <c r="AD30" s="43" t="str">
        <f>IFERROR(VLOOKUP(AD26,'[1]M 기준정보'!$B$5:$H$49936,6,0)*AD29,"")</f>
        <v/>
      </c>
      <c r="AE30" s="43" t="str">
        <f>IFERROR(VLOOKUP(AE26,'[1]M 기준정보'!$B$5:$H$49936,6,0)*AE29,"")</f>
        <v/>
      </c>
      <c r="AF30" s="43" t="str">
        <f>IFERROR(VLOOKUP(AF26,'[1]M 기준정보'!$B$5:$H$49936,6,0)*AF29,"")</f>
        <v/>
      </c>
      <c r="AG30" s="43" t="str">
        <f>IFERROR(VLOOKUP(AG26,'[1]M 기준정보'!$B$5:$H$49936,6,0)*AG29,"")</f>
        <v/>
      </c>
      <c r="AH30" s="43" t="str">
        <f>IFERROR(VLOOKUP(AH26,'[1]M 기준정보'!$B$5:$H$49936,6,0)*AH29,"")</f>
        <v/>
      </c>
      <c r="AI30" s="43" t="str">
        <f>IFERROR(VLOOKUP(AI26,'[1]M 기준정보'!$B$5:$H$49936,6,0)*AI29,"")</f>
        <v/>
      </c>
      <c r="AJ30" s="43" t="str">
        <f>IFERROR(VLOOKUP(AJ26,'[1]M 기준정보'!$B$5:$H$49936,6,0)*AJ29,"")</f>
        <v/>
      </c>
      <c r="AK30" s="43" t="str">
        <f>IFERROR(VLOOKUP(AK26,'[1]M 기준정보'!$B$5:$H$49936,6,0)*AK29,"")</f>
        <v/>
      </c>
      <c r="AL30" s="43" t="str">
        <f>IFERROR(VLOOKUP(AL26,'[1]M 기준정보'!$B$5:$H$49936,6,0)*AL29,"")</f>
        <v/>
      </c>
      <c r="AM30" s="43" t="str">
        <f>IFERROR(VLOOKUP(AM26,'[1]M 기준정보'!$B$5:$H$49936,6,0)*AM29,"")</f>
        <v/>
      </c>
      <c r="AN30" s="43">
        <f>IFERROR(VLOOKUP(AN26,'[1]M 기준정보'!$B$5:$H$49936,6,0)*AN29,"")</f>
        <v>4.8</v>
      </c>
      <c r="AO30" s="43" t="str">
        <f>IFERROR(VLOOKUP(AO26,'[1]M 기준정보'!$B$5:$H$49936,6,0)*AO29,"")</f>
        <v/>
      </c>
      <c r="AP30" s="43" t="str">
        <f>IFERROR(VLOOKUP(AP26,'[1]M 기준정보'!$B$5:$H$49936,6,0)*AP29,"")</f>
        <v/>
      </c>
      <c r="AQ30" s="43" t="str">
        <f>IFERROR(VLOOKUP(AQ26,'[1]M 기준정보'!$B$5:$H$49936,6,0)*AQ29,"")</f>
        <v/>
      </c>
      <c r="AR30" s="43" t="str">
        <f>IFERROR(VLOOKUP(AR26,'[1]M 기준정보'!$B$5:$H$49936,6,0)*AR29,"")</f>
        <v/>
      </c>
      <c r="AS30" s="43" t="str">
        <f>IFERROR(VLOOKUP(AS26,'[1]M 기준정보'!$B$5:$H$49936,6,0)*AS29,"")</f>
        <v/>
      </c>
      <c r="AT30" s="43" t="str">
        <f>IFERROR(VLOOKUP(AT26,'[1]M 기준정보'!$B$5:$H$49936,6,0)*AT29,"")</f>
        <v/>
      </c>
      <c r="AU30" s="43">
        <f>IFERROR(VLOOKUP(AU26,'[1]M 기준정보'!$B$5:$H$49936,6,0)*AU29,"")</f>
        <v>4.8</v>
      </c>
      <c r="AV30" s="43" t="str">
        <f>IFERROR(VLOOKUP(AV26,'[1]M 기준정보'!$B$5:$H$49936,6,0)*AV29,"")</f>
        <v/>
      </c>
      <c r="AW30" s="43" t="str">
        <f>IFERROR(VLOOKUP(AW26,'[1]M 기준정보'!$B$5:$H$49936,6,0)*AW29,"")</f>
        <v/>
      </c>
      <c r="AX30" s="43" t="str">
        <f>IFERROR(VLOOKUP(AX26,'[1]M 기준정보'!$B$5:$H$49936,6,0)*AX29,"")</f>
        <v/>
      </c>
      <c r="AY30" s="43" t="str">
        <f>IFERROR(VLOOKUP(AY26,'[1]M 기준정보'!$B$5:$H$49936,6,0)*AY29,"")</f>
        <v/>
      </c>
      <c r="AZ30" s="43" t="str">
        <f>IFERROR(VLOOKUP(AZ26,'[1]M 기준정보'!$B$5:$H$49936,6,0)*AZ29,"")</f>
        <v/>
      </c>
      <c r="BA30" s="43" t="str">
        <f>IFERROR(VLOOKUP(BA26,'[1]M 기준정보'!$B$5:$H$49936,6,0)*BA29,"")</f>
        <v/>
      </c>
      <c r="BB30" s="43" t="str">
        <f>IFERROR(VLOOKUP(BB26,'[1]M 기준정보'!$B$5:$H$49936,6,0)*BB29,"")</f>
        <v/>
      </c>
      <c r="BC30" s="43" t="str">
        <f>IFERROR(VLOOKUP(BC26,'[1]M 기준정보'!$B$5:$H$49936,6,0)*BC29,"")</f>
        <v/>
      </c>
      <c r="BD30" s="43" t="str">
        <f>IFERROR(VLOOKUP(BD26,'[1]M 기준정보'!$B$5:$H$49936,6,0)*BD29,"")</f>
        <v/>
      </c>
      <c r="BE30" s="43" t="str">
        <f>IFERROR(VLOOKUP(BE26,'[1]M 기준정보'!$B$5:$H$49936,6,0)*BE29,"")</f>
        <v/>
      </c>
      <c r="BF30" s="43" t="str">
        <f>IFERROR(VLOOKUP(BF26,'[1]M 기준정보'!$B$5:$H$49936,6,0)*BF29,"")</f>
        <v/>
      </c>
      <c r="BG30" s="43" t="str">
        <f>IFERROR(VLOOKUP(BG26,'[1]M 기준정보'!$B$5:$H$49936,6,0)*BG29,"")</f>
        <v/>
      </c>
      <c r="BH30" s="43" t="str">
        <f>IFERROR(VLOOKUP(BH26,'[1]M 기준정보'!$B$5:$H$49936,6,0)*BH29,"")</f>
        <v/>
      </c>
      <c r="BI30" s="43" t="str">
        <f>IFERROR(VLOOKUP(BI26,'[1]M 기준정보'!$B$5:$H$49936,6,0)*BI29,"")</f>
        <v/>
      </c>
      <c r="BJ30" s="43" t="str">
        <f>IFERROR(VLOOKUP(BJ26,'[1]M 기준정보'!$B$5:$H$49936,6,0)*BJ29,"")</f>
        <v/>
      </c>
      <c r="BK30" s="43" t="str">
        <f>IFERROR(VLOOKUP(BK26,'[1]M 기준정보'!$B$5:$H$49936,6,0)*BK29,"")</f>
        <v/>
      </c>
      <c r="BL30" s="43" t="str">
        <f>IFERROR(VLOOKUP(BL26,'[1]M 기준정보'!$B$5:$H$49936,6,0)*BL29,"")</f>
        <v/>
      </c>
      <c r="BM30" s="43" t="str">
        <f>IFERROR(VLOOKUP(BM26,'[1]M 기준정보'!$B$5:$H$49936,6,0)*BM29,"")</f>
        <v/>
      </c>
      <c r="BN30" s="43" t="str">
        <f>IFERROR(VLOOKUP(BN26,'[1]M 기준정보'!$B$5:$H$49936,6,0)*BN29,"")</f>
        <v/>
      </c>
      <c r="BO30" s="43" t="str">
        <f>IFERROR(VLOOKUP(BO26,'[1]M 기준정보'!$B$5:$H$49936,6,0)*BO29,"")</f>
        <v/>
      </c>
      <c r="BP30" s="43" t="str">
        <f>IFERROR(VLOOKUP(BP26,'[1]M 기준정보'!$B$5:$H$49936,6,0)*BP29,"")</f>
        <v/>
      </c>
      <c r="BQ30" s="43" t="str">
        <f>IFERROR(VLOOKUP(BQ26,'[1]M 기준정보'!$B$5:$H$49936,6,0)*BQ29,"")</f>
        <v/>
      </c>
      <c r="BR30" s="43" t="str">
        <f>IFERROR(VLOOKUP(BR26,'[1]M 기준정보'!$B$5:$H$49936,6,0)*BR29,"")</f>
        <v/>
      </c>
      <c r="BS30" s="43" t="str">
        <f>IFERROR(VLOOKUP(BS26,'[1]M 기준정보'!$B$5:$H$49936,6,0)*BS29,"")</f>
        <v/>
      </c>
      <c r="BT30" s="43" t="str">
        <f>IFERROR(VLOOKUP(BT26,'[1]M 기준정보'!$B$5:$H$49936,6,0)*BT29,"")</f>
        <v/>
      </c>
      <c r="BU30" s="43" t="str">
        <f>IFERROR(VLOOKUP(BU26,'[1]M 기준정보'!$B$5:$H$49936,6,0)*BU29,"")</f>
        <v/>
      </c>
      <c r="BV30" s="43" t="str">
        <f>IFERROR(VLOOKUP(BV26,'[1]M 기준정보'!$B$5:$H$49936,6,0)*BV29,"")</f>
        <v/>
      </c>
      <c r="BW30" s="43" t="str">
        <f>IFERROR(VLOOKUP(BW26,'[1]M 기준정보'!$B$5:$H$49936,6,0)*BW29,"")</f>
        <v/>
      </c>
      <c r="BX30" s="43" t="str">
        <f>IFERROR(VLOOKUP(BX26,'[1]M 기준정보'!$B$5:$H$49936,6,0)*BX29,"")</f>
        <v/>
      </c>
      <c r="BY30" s="43" t="str">
        <f>IFERROR(VLOOKUP(BY26,'[1]M 기준정보'!$B$5:$H$49936,6,0)*BY29,"")</f>
        <v/>
      </c>
      <c r="BZ30" s="43" t="str">
        <f>IFERROR(VLOOKUP(BZ26,'[1]M 기준정보'!$B$5:$H$49936,6,0)*BZ29,"")</f>
        <v/>
      </c>
      <c r="CA30" s="43" t="str">
        <f>IFERROR(VLOOKUP(CA26,'[1]M 기준정보'!$B$5:$H$49936,6,0)*CA29,"")</f>
        <v/>
      </c>
      <c r="CB30" s="43" t="str">
        <f>IFERROR(VLOOKUP(CB26,'[1]M 기준정보'!$B$5:$H$49936,6,0)*CB29,"")</f>
        <v/>
      </c>
      <c r="CC30" s="43" t="str">
        <f>IFERROR(VLOOKUP(CC26,'[1]M 기준정보'!$B$5:$H$49936,6,0)*CC29,"")</f>
        <v/>
      </c>
      <c r="CD30" s="43" t="str">
        <f>IFERROR(VLOOKUP(CD26,'[1]M 기준정보'!$B$5:$H$49936,6,0)*CD29,"")</f>
        <v/>
      </c>
      <c r="CE30" s="43" t="str">
        <f>IFERROR(VLOOKUP(CE26,'[1]M 기준정보'!$B$5:$H$49936,6,0)*CE29,"")</f>
        <v/>
      </c>
      <c r="CF30" s="43" t="str">
        <f>IFERROR(VLOOKUP(CF26,'[1]M 기준정보'!$B$5:$H$49936,6,0)*CF29,"")</f>
        <v/>
      </c>
      <c r="CG30" s="43" t="str">
        <f>IFERROR(VLOOKUP(CG26,'[1]M 기준정보'!$B$5:$H$49936,6,0)*CG29,"")</f>
        <v/>
      </c>
      <c r="CH30" s="43" t="str">
        <f>IFERROR(VLOOKUP(CH26,'[1]M 기준정보'!$B$5:$H$49936,6,0)*CH29,"")</f>
        <v/>
      </c>
      <c r="CI30" s="43" t="str">
        <f>IFERROR(VLOOKUP(CI26,'[1]M 기준정보'!$B$5:$H$49936,6,0)*CI29,"")</f>
        <v/>
      </c>
      <c r="CJ30" s="43" t="str">
        <f>IFERROR(VLOOKUP(CJ26,'[1]M 기준정보'!$B$5:$H$49936,6,0)*CJ29,"")</f>
        <v/>
      </c>
      <c r="CK30" s="43" t="str">
        <f>IFERROR(VLOOKUP(CK26,'[1]M 기준정보'!$B$5:$H$49936,6,0)*CK29,"")</f>
        <v/>
      </c>
      <c r="CL30" s="43" t="str">
        <f>IFERROR(VLOOKUP(CL26,'[1]M 기준정보'!$B$5:$H$49936,6,0)*CL29,"")</f>
        <v/>
      </c>
      <c r="CM30" s="43" t="str">
        <f>IFERROR(VLOOKUP(CM26,'[1]M 기준정보'!$B$5:$H$49936,6,0)*CM29,"")</f>
        <v/>
      </c>
      <c r="CN30" s="43" t="str">
        <f>IFERROR(VLOOKUP(CN26,'[1]M 기준정보'!$B$5:$H$49936,6,0)*CN29,"")</f>
        <v/>
      </c>
      <c r="CO30" s="43" t="str">
        <f>IFERROR(VLOOKUP(CO26,'[1]M 기준정보'!$B$5:$H$49936,6,0)*CO29,"")</f>
        <v/>
      </c>
      <c r="CP30" s="43" t="str">
        <f>IFERROR(VLOOKUP(CP26,'[1]M 기준정보'!$B$5:$H$49936,6,0)*CP29,"")</f>
        <v/>
      </c>
      <c r="CQ30" s="43" t="str">
        <f>IFERROR(VLOOKUP(CQ26,'[1]M 기준정보'!$B$5:$H$49936,6,0)*CQ29,"")</f>
        <v/>
      </c>
      <c r="CR30" s="43" t="str">
        <f>IFERROR(VLOOKUP(CR26,'[1]M 기준정보'!$B$5:$H$49936,6,0)*CR29,"")</f>
        <v/>
      </c>
      <c r="CS30" s="43" t="str">
        <f>IFERROR(VLOOKUP(CS26,'[1]M 기준정보'!$B$5:$H$49936,6,0)*CS29,"")</f>
        <v/>
      </c>
      <c r="CT30" s="43" t="str">
        <f>IFERROR(VLOOKUP(CT26,'[1]M 기준정보'!$B$5:$H$49936,6,0)*CT29,"")</f>
        <v/>
      </c>
      <c r="CU30" s="43" t="str">
        <f>IFERROR(VLOOKUP(CU26,'[1]M 기준정보'!$B$5:$H$49936,6,0)*CU29,"")</f>
        <v/>
      </c>
      <c r="CV30" s="43" t="str">
        <f>IFERROR(VLOOKUP(CV26,'[1]M 기준정보'!$B$5:$H$49936,6,0)*CV29,"")</f>
        <v/>
      </c>
      <c r="CW30" s="43" t="str">
        <f>IFERROR(VLOOKUP(CW26,'[1]M 기준정보'!$B$5:$H$49936,6,0)*CW29,"")</f>
        <v/>
      </c>
      <c r="CX30" s="43" t="str">
        <f>IFERROR(VLOOKUP(CX26,'[1]M 기준정보'!$B$5:$H$49936,6,0)*CX29,"")</f>
        <v/>
      </c>
      <c r="CY30" s="43" t="str">
        <f>IFERROR(VLOOKUP(CY26,'[1]M 기준정보'!$B$5:$H$49936,6,0)*CY29,"")</f>
        <v/>
      </c>
      <c r="CZ30" s="43" t="str">
        <f>IFERROR(VLOOKUP(CZ26,'[1]M 기준정보'!$B$5:$H$49936,6,0)*CZ29,"")</f>
        <v/>
      </c>
      <c r="DA30" s="43" t="str">
        <f>IFERROR(VLOOKUP(DA26,'[1]M 기준정보'!$B$5:$H$49936,6,0)*DA29,"")</f>
        <v/>
      </c>
      <c r="DB30" s="43" t="str">
        <f>IFERROR(VLOOKUP(DB26,'[1]M 기준정보'!$B$5:$H$49936,6,0)*DB29,"")</f>
        <v/>
      </c>
      <c r="DC30" s="43" t="str">
        <f>IFERROR(VLOOKUP(DC26,'[1]M 기준정보'!$B$5:$H$49936,6,0)*DC29,"")</f>
        <v/>
      </c>
      <c r="DD30" s="43" t="str">
        <f>IFERROR(VLOOKUP(DD26,'[1]M 기준정보'!$B$5:$H$49936,6,0)*DD29,"")</f>
        <v/>
      </c>
      <c r="DE30" s="43" t="str">
        <f>IFERROR(VLOOKUP(DE26,'[1]M 기준정보'!$B$5:$H$49936,6,0)*DE29,"")</f>
        <v/>
      </c>
      <c r="DF30" s="43" t="str">
        <f>IFERROR(VLOOKUP(DF26,'[1]M 기준정보'!$B$5:$H$49936,6,0)*DF29,"")</f>
        <v/>
      </c>
      <c r="DG30" s="43" t="str">
        <f>IFERROR(VLOOKUP(DG26,'[1]M 기준정보'!$B$5:$H$49936,6,0)*DG29,"")</f>
        <v/>
      </c>
      <c r="DH30" s="43" t="str">
        <f>IFERROR(VLOOKUP(DH26,'[1]M 기준정보'!$B$5:$H$49936,6,0)*DH29,"")</f>
        <v/>
      </c>
      <c r="DI30" s="43" t="str">
        <f>IFERROR(VLOOKUP(DI26,'[1]M 기준정보'!$B$5:$H$49936,6,0)*DI29,"")</f>
        <v/>
      </c>
      <c r="DJ30" s="43" t="str">
        <f>IFERROR(VLOOKUP(DJ26,'[1]M 기준정보'!$B$5:$H$49936,6,0)*DJ29,"")</f>
        <v/>
      </c>
      <c r="DK30" s="43" t="str">
        <f>IFERROR(VLOOKUP(DK26,'[1]M 기준정보'!$B$5:$H$49936,6,0)*DK29,"")</f>
        <v/>
      </c>
      <c r="DL30" s="43" t="str">
        <f>IFERROR(VLOOKUP(DL26,'[1]M 기준정보'!$B$5:$H$49936,6,0)*DL29,"")</f>
        <v/>
      </c>
      <c r="DM30" s="43" t="str">
        <f>IFERROR(VLOOKUP(DM26,'[1]M 기준정보'!$B$5:$H$49936,6,0)*DM29,"")</f>
        <v/>
      </c>
      <c r="DN30" s="43" t="str">
        <f>IFERROR(VLOOKUP(DN26,'[1]M 기준정보'!$B$5:$H$49936,6,0)*DN29,"")</f>
        <v/>
      </c>
      <c r="DO30" s="43" t="str">
        <f>IFERROR(VLOOKUP(DO26,'[1]M 기준정보'!$B$5:$H$49936,6,0)*DO29,"")</f>
        <v/>
      </c>
      <c r="DP30" s="43" t="str">
        <f>IFERROR(VLOOKUP(DP26,'[1]M 기준정보'!$B$5:$H$49936,6,0)*DP29,"")</f>
        <v/>
      </c>
      <c r="DQ30" s="43" t="str">
        <f>IFERROR(VLOOKUP(DQ26,'[1]M 기준정보'!$B$5:$H$49936,6,0)*DQ29,"")</f>
        <v/>
      </c>
      <c r="DR30" s="43" t="str">
        <f>IFERROR(VLOOKUP(DR26,'[1]M 기준정보'!$B$5:$H$49936,6,0)*DR29,"")</f>
        <v/>
      </c>
      <c r="DS30" s="43" t="str">
        <f>IFERROR(VLOOKUP(DS26,'[1]M 기준정보'!$B$5:$H$49936,6,0)*DS29,"")</f>
        <v/>
      </c>
      <c r="DT30" s="43" t="str">
        <f>IFERROR(VLOOKUP(DT26,'[1]M 기준정보'!$B$5:$H$49936,6,0)*DT29,"")</f>
        <v/>
      </c>
      <c r="DU30" s="43" t="str">
        <f>IFERROR(VLOOKUP(DU26,'[1]M 기준정보'!$B$5:$H$49936,6,0)*DU29,"")</f>
        <v/>
      </c>
      <c r="DV30" s="43" t="str">
        <f>IFERROR(VLOOKUP(DV26,'[1]M 기준정보'!$B$5:$H$49936,6,0)*DV29,"")</f>
        <v/>
      </c>
      <c r="DW30" s="43" t="str">
        <f>IFERROR(VLOOKUP(DW26,'[1]M 기준정보'!$B$5:$H$49936,6,0)*DW29,"")</f>
        <v/>
      </c>
      <c r="DX30" s="43" t="str">
        <f>IFERROR(VLOOKUP(DX26,'[1]M 기준정보'!$B$5:$H$49936,6,0)*DX29,"")</f>
        <v/>
      </c>
      <c r="DY30" s="43" t="str">
        <f>IFERROR(VLOOKUP(DY26,'[1]M 기준정보'!$B$5:$H$49936,6,0)*DY29,"")</f>
        <v/>
      </c>
      <c r="DZ30" s="43" t="str">
        <f>IFERROR(VLOOKUP(DZ26,'[1]M 기준정보'!$B$5:$H$49936,6,0)*DZ29,"")</f>
        <v/>
      </c>
      <c r="EA30" s="43" t="str">
        <f>IFERROR(VLOOKUP(EA26,'[1]M 기준정보'!$B$5:$H$49936,6,0)*EA29,"")</f>
        <v/>
      </c>
      <c r="EB30" s="43" t="str">
        <f>IFERROR(VLOOKUP(EB26,'[1]M 기준정보'!$B$5:$H$49936,6,0)*EB29,"")</f>
        <v/>
      </c>
      <c r="EC30" s="43" t="str">
        <f>IFERROR(VLOOKUP(EC26,'[1]M 기준정보'!$B$5:$H$49936,6,0)*EC29,"")</f>
        <v/>
      </c>
      <c r="ED30" s="43" t="str">
        <f>IFERROR(VLOOKUP(ED26,'[1]M 기준정보'!$B$5:$H$49936,6,0)*ED29,"")</f>
        <v/>
      </c>
      <c r="EE30" s="43" t="str">
        <f>IFERROR(VLOOKUP(EE26,'[1]M 기준정보'!$B$5:$H$49936,6,0)*EE29,"")</f>
        <v/>
      </c>
      <c r="EF30" s="43" t="str">
        <f>IFERROR(VLOOKUP(EF26,'[1]M 기준정보'!$B$5:$H$49936,6,0)*EF29,"")</f>
        <v/>
      </c>
    </row>
    <row r="31" spans="1:136" ht="23.25" customHeight="1" x14ac:dyDescent="0.3">
      <c r="A31" s="49"/>
      <c r="B31" s="48" t="s">
        <v>15</v>
      </c>
      <c r="C31" s="16"/>
      <c r="D31" s="35" t="s">
        <v>42</v>
      </c>
      <c r="E31" s="15" t="s">
        <v>85</v>
      </c>
      <c r="F31" s="19" t="s">
        <v>35</v>
      </c>
      <c r="G31" s="16"/>
      <c r="H31" s="16"/>
      <c r="I31" s="32" t="s">
        <v>44</v>
      </c>
      <c r="J31" s="35" t="s">
        <v>42</v>
      </c>
      <c r="K31" s="33" t="s">
        <v>36</v>
      </c>
      <c r="L31" s="17" t="s">
        <v>86</v>
      </c>
      <c r="M31" s="35" t="s">
        <v>42</v>
      </c>
      <c r="N31" s="16"/>
      <c r="O31" s="16"/>
      <c r="P31" s="16"/>
      <c r="Q31" s="35" t="s">
        <v>42</v>
      </c>
      <c r="R31" s="16"/>
      <c r="S31" s="19" t="s">
        <v>19</v>
      </c>
      <c r="T31" s="35" t="s">
        <v>42</v>
      </c>
      <c r="U31" s="16"/>
      <c r="V31" s="16"/>
      <c r="W31" s="16"/>
      <c r="X31" s="16"/>
      <c r="Y31" s="16"/>
      <c r="Z31" s="15" t="s">
        <v>16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</row>
    <row r="32" spans="1:136" ht="23.25" customHeight="1" x14ac:dyDescent="0.3">
      <c r="A32" s="49"/>
      <c r="B32" s="23" t="s">
        <v>66</v>
      </c>
      <c r="C32" s="50" t="str">
        <f>IFERROR(VLOOKUP(C31,'[1]M 기준정보'!$B$5:$C$49936,2,0),"")</f>
        <v/>
      </c>
      <c r="D32" s="50" t="str">
        <f>IFERROR(VLOOKUP(D31,'[1]M 기준정보'!$B$5:$C$49936,2,0),"")</f>
        <v>SST6000LD</v>
      </c>
      <c r="E32" s="50" t="str">
        <f>IFERROR(VLOOKUP(E31,'[1]M 기준정보'!$B$5:$C$49936,2,0),"")</f>
        <v>S6133-NT(NEW TREE)</v>
      </c>
      <c r="F32" s="50" t="str">
        <f>IFERROR(VLOOKUP(F31,'[1]M 기준정보'!$B$5:$C$49936,2,0),"")</f>
        <v>AM-1115 BLACK SK향(구형 F/W)</v>
      </c>
      <c r="G32" s="50" t="str">
        <f>IFERROR(VLOOKUP(G31,'[1]M 기준정보'!$B$5:$C$49936,2,0),"")</f>
        <v/>
      </c>
      <c r="H32" s="50" t="str">
        <f>IFERROR(VLOOKUP(H31,'[1]M 기준정보'!$B$5:$C$49936,2,0),"")</f>
        <v/>
      </c>
      <c r="I32" s="50" t="str">
        <f>IFERROR(VLOOKUP(I31,'[1]M 기준정보'!$B$5:$C$49936,2,0),"")</f>
        <v>EPS7150-11G(i5) DUAL RAM 16G (무선랜 ×)</v>
      </c>
      <c r="J32" s="50" t="str">
        <f>IFERROR(VLOOKUP(J31,'[1]M 기준정보'!$B$5:$C$49936,2,0),"")</f>
        <v>SST6000LD</v>
      </c>
      <c r="K32" s="50" t="str">
        <f>IFERROR(VLOOKUP(K31,'[1]M 기준정보'!$B$5:$C$49936,2,0),"")</f>
        <v>EPS7133 스타벅스 벽걸이用</v>
      </c>
      <c r="L32" s="50" t="str">
        <f>IFERROR(VLOOKUP(L31,'[1]M 기준정보'!$B$5:$C$49936,2,0),"")</f>
        <v>XM-3115T FEC 15인치 [TOUCH]</v>
      </c>
      <c r="M32" s="50" t="str">
        <f>IFERROR(VLOOKUP(M31,'[1]M 기준정보'!$B$5:$C$49936,2,0),"")</f>
        <v>SST6000LD</v>
      </c>
      <c r="N32" s="50" t="str">
        <f>IFERROR(VLOOKUP(N31,'[1]M 기준정보'!$B$5:$C$49936,2,0),"")</f>
        <v/>
      </c>
      <c r="O32" s="50" t="str">
        <f>IFERROR(VLOOKUP(O31,'[1]M 기준정보'!$B$5:$C$49936,2,0),"")</f>
        <v/>
      </c>
      <c r="P32" s="50" t="str">
        <f>IFERROR(VLOOKUP(P31,'[1]M 기준정보'!$B$5:$C$49936,2,0),"")</f>
        <v/>
      </c>
      <c r="Q32" s="50" t="str">
        <f>IFERROR(VLOOKUP(Q31,'[1]M 기준정보'!$B$5:$C$49936,2,0),"")</f>
        <v>SST6000LD</v>
      </c>
      <c r="R32" s="50" t="str">
        <f>IFERROR(VLOOKUP(R31,'[1]M 기준정보'!$B$5:$C$49936,2,0),"")</f>
        <v/>
      </c>
      <c r="S32" s="50" t="str">
        <f>IFERROR(VLOOKUP(S31,'[1]M 기준정보'!$B$5:$C$49936,2,0),"")</f>
        <v>ALPINION KM</v>
      </c>
      <c r="T32" s="50" t="str">
        <f>IFERROR(VLOOKUP(T31,'[1]M 기준정보'!$B$5:$C$49936,2,0),"")</f>
        <v>SST6000LD</v>
      </c>
      <c r="U32" s="50" t="str">
        <f>IFERROR(VLOOKUP(U31,'[1]M 기준정보'!$B$5:$C$49936,2,0),"")</f>
        <v/>
      </c>
      <c r="V32" s="50" t="str">
        <f>IFERROR(VLOOKUP(V31,'[1]M 기준정보'!$B$5:$C$49936,2,0),"")</f>
        <v/>
      </c>
      <c r="W32" s="50" t="str">
        <f>IFERROR(VLOOKUP(W31,'[1]M 기준정보'!$B$5:$C$49936,2,0),"")</f>
        <v/>
      </c>
      <c r="X32" s="50" t="str">
        <f>IFERROR(VLOOKUP(X31,'[1]M 기준정보'!$B$5:$C$49936,2,0),"")</f>
        <v/>
      </c>
      <c r="Y32" s="50" t="str">
        <f>IFERROR(VLOOKUP(Y31,'[1]M 기준정보'!$B$5:$C$49936,2,0),"")</f>
        <v/>
      </c>
      <c r="Z32" s="50" t="str">
        <f>IFERROR(VLOOKUP(Z31,'[1]M 기준정보'!$B$5:$C$49936,2,0),"")</f>
        <v>S6133-NT(NEW TREE)</v>
      </c>
      <c r="AA32" s="50" t="str">
        <f>IFERROR(VLOOKUP(AA31,'[1]M 기준정보'!$B$5:$C$49936,2,0),"")</f>
        <v/>
      </c>
      <c r="AB32" s="50" t="str">
        <f>IFERROR(VLOOKUP(AB31,'[1]M 기준정보'!$B$5:$C$49936,2,0),"")</f>
        <v/>
      </c>
      <c r="AC32" s="50" t="str">
        <f>IFERROR(VLOOKUP(AC31,'[1]M 기준정보'!$B$5:$C$49936,2,0),"")</f>
        <v/>
      </c>
      <c r="AD32" s="50" t="str">
        <f>IFERROR(VLOOKUP(AD31,'[1]M 기준정보'!$B$5:$C$49936,2,0),"")</f>
        <v/>
      </c>
      <c r="AE32" s="50" t="str">
        <f>IFERROR(VLOOKUP(AE31,'[1]M 기준정보'!$B$5:$C$49936,2,0),"")</f>
        <v/>
      </c>
      <c r="AF32" s="50" t="str">
        <f>IFERROR(VLOOKUP(AF31,'[1]M 기준정보'!$B$5:$C$49936,2,0),"")</f>
        <v/>
      </c>
      <c r="AG32" s="50" t="str">
        <f>IFERROR(VLOOKUP(AG31,'[1]M 기준정보'!$B$5:$C$49936,2,0),"")</f>
        <v/>
      </c>
      <c r="AH32" s="50" t="str">
        <f>IFERROR(VLOOKUP(AH31,'[1]M 기준정보'!$B$5:$C$49936,2,0),"")</f>
        <v/>
      </c>
      <c r="AI32" s="50" t="str">
        <f>IFERROR(VLOOKUP(AI31,'[1]M 기준정보'!$B$5:$C$49936,2,0),"")</f>
        <v/>
      </c>
      <c r="AJ32" s="50" t="str">
        <f>IFERROR(VLOOKUP(AJ31,'[1]M 기준정보'!$B$5:$C$49936,2,0),"")</f>
        <v/>
      </c>
      <c r="AK32" s="50" t="str">
        <f>IFERROR(VLOOKUP(AK31,'[1]M 기준정보'!$B$5:$C$49936,2,0),"")</f>
        <v/>
      </c>
      <c r="AL32" s="50" t="str">
        <f>IFERROR(VLOOKUP(AL31,'[1]M 기준정보'!$B$5:$C$49936,2,0),"")</f>
        <v/>
      </c>
      <c r="AM32" s="50" t="str">
        <f>IFERROR(VLOOKUP(AM31,'[1]M 기준정보'!$B$5:$C$49936,2,0),"")</f>
        <v/>
      </c>
      <c r="AN32" s="50" t="str">
        <f>IFERROR(VLOOKUP(AN31,'[1]M 기준정보'!$B$5:$C$49936,2,0),"")</f>
        <v/>
      </c>
      <c r="AO32" s="50" t="str">
        <f>IFERROR(VLOOKUP(AO31,'[1]M 기준정보'!$B$5:$C$49936,2,0),"")</f>
        <v/>
      </c>
      <c r="AP32" s="50" t="str">
        <f>IFERROR(VLOOKUP(AP31,'[1]M 기준정보'!$B$5:$C$49936,2,0),"")</f>
        <v/>
      </c>
      <c r="AQ32" s="50" t="str">
        <f>IFERROR(VLOOKUP(AQ31,'[1]M 기준정보'!$B$5:$C$49936,2,0),"")</f>
        <v/>
      </c>
      <c r="AR32" s="50" t="str">
        <f>IFERROR(VLOOKUP(AR31,'[1]M 기준정보'!$B$5:$C$49936,2,0),"")</f>
        <v/>
      </c>
      <c r="AS32" s="50" t="str">
        <f>IFERROR(VLOOKUP(AS31,'[1]M 기준정보'!$B$5:$C$49936,2,0),"")</f>
        <v/>
      </c>
      <c r="AT32" s="50" t="str">
        <f>IFERROR(VLOOKUP(AT31,'[1]M 기준정보'!$B$5:$C$49936,2,0),"")</f>
        <v/>
      </c>
      <c r="AU32" s="50" t="str">
        <f>IFERROR(VLOOKUP(AU31,'[1]M 기준정보'!$B$5:$C$49936,2,0),"")</f>
        <v/>
      </c>
      <c r="AV32" s="50" t="str">
        <f>IFERROR(VLOOKUP(AV31,'[1]M 기준정보'!$B$5:$C$49936,2,0),"")</f>
        <v/>
      </c>
      <c r="AW32" s="50" t="str">
        <f>IFERROR(VLOOKUP(AW31,'[1]M 기준정보'!$B$5:$C$49936,2,0),"")</f>
        <v/>
      </c>
      <c r="AX32" s="50" t="str">
        <f>IFERROR(VLOOKUP(AX31,'[1]M 기준정보'!$B$5:$C$49936,2,0),"")</f>
        <v/>
      </c>
      <c r="AY32" s="50" t="str">
        <f>IFERROR(VLOOKUP(AY31,'[1]M 기준정보'!$B$5:$C$49936,2,0),"")</f>
        <v/>
      </c>
      <c r="AZ32" s="50" t="str">
        <f>IFERROR(VLOOKUP(AZ31,'[1]M 기준정보'!$B$5:$C$49936,2,0),"")</f>
        <v/>
      </c>
      <c r="BA32" s="50" t="str">
        <f>IFERROR(VLOOKUP(BA31,'[1]M 기준정보'!$B$5:$C$49936,2,0),"")</f>
        <v/>
      </c>
      <c r="BB32" s="50" t="str">
        <f>IFERROR(VLOOKUP(BB31,'[1]M 기준정보'!$B$5:$C$49936,2,0),"")</f>
        <v/>
      </c>
      <c r="BC32" s="50" t="str">
        <f>IFERROR(VLOOKUP(BC31,'[1]M 기준정보'!$B$5:$C$49936,2,0),"")</f>
        <v/>
      </c>
      <c r="BD32" s="50" t="str">
        <f>IFERROR(VLOOKUP(BD31,'[1]M 기준정보'!$B$5:$C$49936,2,0),"")</f>
        <v/>
      </c>
      <c r="BE32" s="50" t="str">
        <f>IFERROR(VLOOKUP(BE31,'[1]M 기준정보'!$B$5:$C$49936,2,0),"")</f>
        <v/>
      </c>
      <c r="BF32" s="50" t="str">
        <f>IFERROR(VLOOKUP(BF31,'[1]M 기준정보'!$B$5:$C$49936,2,0),"")</f>
        <v/>
      </c>
      <c r="BG32" s="50" t="str">
        <f>IFERROR(VLOOKUP(BG31,'[1]M 기준정보'!$B$5:$C$49936,2,0),"")</f>
        <v/>
      </c>
      <c r="BH32" s="50" t="str">
        <f>IFERROR(VLOOKUP(BH31,'[1]M 기준정보'!$B$5:$C$49936,2,0),"")</f>
        <v/>
      </c>
      <c r="BI32" s="50" t="str">
        <f>IFERROR(VLOOKUP(BI31,'[1]M 기준정보'!$B$5:$C$49936,2,0),"")</f>
        <v/>
      </c>
      <c r="BJ32" s="50" t="str">
        <f>IFERROR(VLOOKUP(BJ31,'[1]M 기준정보'!$B$5:$C$49936,2,0),"")</f>
        <v/>
      </c>
      <c r="BK32" s="50" t="str">
        <f>IFERROR(VLOOKUP(BK31,'[1]M 기준정보'!$B$5:$C$49936,2,0),"")</f>
        <v/>
      </c>
      <c r="BL32" s="50" t="str">
        <f>IFERROR(VLOOKUP(BL31,'[1]M 기준정보'!$B$5:$C$49936,2,0),"")</f>
        <v/>
      </c>
      <c r="BM32" s="50" t="str">
        <f>IFERROR(VLOOKUP(BM31,'[1]M 기준정보'!$B$5:$C$49936,2,0),"")</f>
        <v/>
      </c>
      <c r="BN32" s="50" t="str">
        <f>IFERROR(VLOOKUP(BN31,'[1]M 기준정보'!$B$5:$C$49936,2,0),"")</f>
        <v/>
      </c>
      <c r="BO32" s="50" t="str">
        <f>IFERROR(VLOOKUP(BO31,'[1]M 기준정보'!$B$5:$C$49936,2,0),"")</f>
        <v/>
      </c>
      <c r="BP32" s="50" t="str">
        <f>IFERROR(VLOOKUP(BP31,'[1]M 기준정보'!$B$5:$C$49936,2,0),"")</f>
        <v/>
      </c>
      <c r="BQ32" s="50" t="str">
        <f>IFERROR(VLOOKUP(BQ31,'[1]M 기준정보'!$B$5:$C$49936,2,0),"")</f>
        <v/>
      </c>
      <c r="BR32" s="50" t="str">
        <f>IFERROR(VLOOKUP(BR31,'[1]M 기준정보'!$B$5:$C$49936,2,0),"")</f>
        <v/>
      </c>
      <c r="BS32" s="50" t="str">
        <f>IFERROR(VLOOKUP(BS31,'[1]M 기준정보'!$B$5:$C$49936,2,0),"")</f>
        <v/>
      </c>
      <c r="BT32" s="50" t="str">
        <f>IFERROR(VLOOKUP(BT31,'[1]M 기준정보'!$B$5:$C$49936,2,0),"")</f>
        <v/>
      </c>
      <c r="BU32" s="50" t="str">
        <f>IFERROR(VLOOKUP(BU31,'[1]M 기준정보'!$B$5:$C$49936,2,0),"")</f>
        <v/>
      </c>
      <c r="BV32" s="50" t="str">
        <f>IFERROR(VLOOKUP(BV31,'[1]M 기준정보'!$B$5:$C$49936,2,0),"")</f>
        <v/>
      </c>
      <c r="BW32" s="50" t="str">
        <f>IFERROR(VLOOKUP(BW31,'[1]M 기준정보'!$B$5:$C$49936,2,0),"")</f>
        <v/>
      </c>
      <c r="BX32" s="50" t="str">
        <f>IFERROR(VLOOKUP(BX31,'[1]M 기준정보'!$B$5:$C$49936,2,0),"")</f>
        <v/>
      </c>
      <c r="BY32" s="50" t="str">
        <f>IFERROR(VLOOKUP(BY31,'[1]M 기준정보'!$B$5:$C$49936,2,0),"")</f>
        <v/>
      </c>
      <c r="BZ32" s="50" t="str">
        <f>IFERROR(VLOOKUP(BZ31,'[1]M 기준정보'!$B$5:$C$49936,2,0),"")</f>
        <v/>
      </c>
      <c r="CA32" s="50" t="str">
        <f>IFERROR(VLOOKUP(CA31,'[1]M 기준정보'!$B$5:$C$49936,2,0),"")</f>
        <v/>
      </c>
      <c r="CB32" s="50" t="str">
        <f>IFERROR(VLOOKUP(CB31,'[1]M 기준정보'!$B$5:$C$49936,2,0),"")</f>
        <v/>
      </c>
      <c r="CC32" s="50" t="str">
        <f>IFERROR(VLOOKUP(CC31,'[1]M 기준정보'!$B$5:$C$49936,2,0),"")</f>
        <v/>
      </c>
      <c r="CD32" s="50" t="str">
        <f>IFERROR(VLOOKUP(CD31,'[1]M 기준정보'!$B$5:$C$49936,2,0),"")</f>
        <v/>
      </c>
      <c r="CE32" s="50" t="str">
        <f>IFERROR(VLOOKUP(CE31,'[1]M 기준정보'!$B$5:$C$49936,2,0),"")</f>
        <v/>
      </c>
      <c r="CF32" s="50" t="str">
        <f>IFERROR(VLOOKUP(CF31,'[1]M 기준정보'!$B$5:$C$49936,2,0),"")</f>
        <v/>
      </c>
      <c r="CG32" s="50" t="str">
        <f>IFERROR(VLOOKUP(CG31,'[1]M 기준정보'!$B$5:$C$49936,2,0),"")</f>
        <v/>
      </c>
      <c r="CH32" s="50" t="str">
        <f>IFERROR(VLOOKUP(CH31,'[1]M 기준정보'!$B$5:$C$49936,2,0),"")</f>
        <v/>
      </c>
      <c r="CI32" s="50" t="str">
        <f>IFERROR(VLOOKUP(CI31,'[1]M 기준정보'!$B$5:$C$49936,2,0),"")</f>
        <v/>
      </c>
      <c r="CJ32" s="50" t="str">
        <f>IFERROR(VLOOKUP(CJ31,'[1]M 기준정보'!$B$5:$C$49936,2,0),"")</f>
        <v/>
      </c>
      <c r="CK32" s="50" t="str">
        <f>IFERROR(VLOOKUP(CK31,'[1]M 기준정보'!$B$5:$C$49936,2,0),"")</f>
        <v/>
      </c>
      <c r="CL32" s="50" t="str">
        <f>IFERROR(VLOOKUP(CL31,'[1]M 기준정보'!$B$5:$C$49936,2,0),"")</f>
        <v/>
      </c>
      <c r="CM32" s="50" t="str">
        <f>IFERROR(VLOOKUP(CM31,'[1]M 기준정보'!$B$5:$C$49936,2,0),"")</f>
        <v/>
      </c>
      <c r="CN32" s="50" t="str">
        <f>IFERROR(VLOOKUP(CN31,'[1]M 기준정보'!$B$5:$C$49936,2,0),"")</f>
        <v/>
      </c>
      <c r="CO32" s="50" t="str">
        <f>IFERROR(VLOOKUP(CO31,'[1]M 기준정보'!$B$5:$C$49936,2,0),"")</f>
        <v/>
      </c>
      <c r="CP32" s="50" t="str">
        <f>IFERROR(VLOOKUP(CP31,'[1]M 기준정보'!$B$5:$C$49936,2,0),"")</f>
        <v/>
      </c>
      <c r="CQ32" s="50" t="str">
        <f>IFERROR(VLOOKUP(CQ31,'[1]M 기준정보'!$B$5:$C$49936,2,0),"")</f>
        <v/>
      </c>
      <c r="CR32" s="50" t="str">
        <f>IFERROR(VLOOKUP(CR31,'[1]M 기준정보'!$B$5:$C$49936,2,0),"")</f>
        <v/>
      </c>
      <c r="CS32" s="50" t="str">
        <f>IFERROR(VLOOKUP(CS31,'[1]M 기준정보'!$B$5:$C$49936,2,0),"")</f>
        <v/>
      </c>
      <c r="CT32" s="50" t="str">
        <f>IFERROR(VLOOKUP(CT31,'[1]M 기준정보'!$B$5:$C$49936,2,0),"")</f>
        <v/>
      </c>
      <c r="CU32" s="50" t="str">
        <f>IFERROR(VLOOKUP(CU31,'[1]M 기준정보'!$B$5:$C$49936,2,0),"")</f>
        <v/>
      </c>
      <c r="CV32" s="50" t="str">
        <f>IFERROR(VLOOKUP(CV31,'[1]M 기준정보'!$B$5:$C$49936,2,0),"")</f>
        <v/>
      </c>
      <c r="CW32" s="50" t="str">
        <f>IFERROR(VLOOKUP(CW31,'[1]M 기준정보'!$B$5:$C$49936,2,0),"")</f>
        <v/>
      </c>
      <c r="CX32" s="50" t="str">
        <f>IFERROR(VLOOKUP(CX31,'[1]M 기준정보'!$B$5:$C$49936,2,0),"")</f>
        <v/>
      </c>
      <c r="CY32" s="50" t="str">
        <f>IFERROR(VLOOKUP(CY31,'[1]M 기준정보'!$B$5:$C$49936,2,0),"")</f>
        <v/>
      </c>
      <c r="CZ32" s="50" t="str">
        <f>IFERROR(VLOOKUP(CZ31,'[1]M 기준정보'!$B$5:$C$49936,2,0),"")</f>
        <v/>
      </c>
      <c r="DA32" s="50" t="str">
        <f>IFERROR(VLOOKUP(DA31,'[1]M 기준정보'!$B$5:$C$49936,2,0),"")</f>
        <v/>
      </c>
      <c r="DB32" s="50" t="str">
        <f>IFERROR(VLOOKUP(DB31,'[1]M 기준정보'!$B$5:$C$49936,2,0),"")</f>
        <v/>
      </c>
      <c r="DC32" s="50" t="str">
        <f>IFERROR(VLOOKUP(DC31,'[1]M 기준정보'!$B$5:$C$49936,2,0),"")</f>
        <v/>
      </c>
      <c r="DD32" s="50" t="str">
        <f>IFERROR(VLOOKUP(DD31,'[1]M 기준정보'!$B$5:$C$49936,2,0),"")</f>
        <v/>
      </c>
      <c r="DE32" s="50" t="str">
        <f>IFERROR(VLOOKUP(DE31,'[1]M 기준정보'!$B$5:$C$49936,2,0),"")</f>
        <v/>
      </c>
      <c r="DF32" s="50" t="str">
        <f>IFERROR(VLOOKUP(DF31,'[1]M 기준정보'!$B$5:$C$49936,2,0),"")</f>
        <v/>
      </c>
      <c r="DG32" s="50" t="str">
        <f>IFERROR(VLOOKUP(DG31,'[1]M 기준정보'!$B$5:$C$49936,2,0),"")</f>
        <v/>
      </c>
      <c r="DH32" s="50" t="str">
        <f>IFERROR(VLOOKUP(DH31,'[1]M 기준정보'!$B$5:$C$49936,2,0),"")</f>
        <v/>
      </c>
      <c r="DI32" s="50" t="str">
        <f>IFERROR(VLOOKUP(DI31,'[1]M 기준정보'!$B$5:$C$49936,2,0),"")</f>
        <v/>
      </c>
      <c r="DJ32" s="50" t="str">
        <f>IFERROR(VLOOKUP(DJ31,'[1]M 기준정보'!$B$5:$C$49936,2,0),"")</f>
        <v/>
      </c>
      <c r="DK32" s="50" t="str">
        <f>IFERROR(VLOOKUP(DK31,'[1]M 기준정보'!$B$5:$C$49936,2,0),"")</f>
        <v/>
      </c>
      <c r="DL32" s="50" t="str">
        <f>IFERROR(VLOOKUP(DL31,'[1]M 기준정보'!$B$5:$C$49936,2,0),"")</f>
        <v/>
      </c>
      <c r="DM32" s="50" t="str">
        <f>IFERROR(VLOOKUP(DM31,'[1]M 기준정보'!$B$5:$C$49936,2,0),"")</f>
        <v/>
      </c>
      <c r="DN32" s="50" t="str">
        <f>IFERROR(VLOOKUP(DN31,'[1]M 기준정보'!$B$5:$C$49936,2,0),"")</f>
        <v/>
      </c>
      <c r="DO32" s="50" t="str">
        <f>IFERROR(VLOOKUP(DO31,'[1]M 기준정보'!$B$5:$C$49936,2,0),"")</f>
        <v/>
      </c>
      <c r="DP32" s="50" t="str">
        <f>IFERROR(VLOOKUP(DP31,'[1]M 기준정보'!$B$5:$C$49936,2,0),"")</f>
        <v/>
      </c>
      <c r="DQ32" s="50" t="str">
        <f>IFERROR(VLOOKUP(DQ31,'[1]M 기준정보'!$B$5:$C$49936,2,0),"")</f>
        <v/>
      </c>
      <c r="DR32" s="50" t="str">
        <f>IFERROR(VLOOKUP(DR31,'[1]M 기준정보'!$B$5:$C$49936,2,0),"")</f>
        <v/>
      </c>
      <c r="DS32" s="50" t="str">
        <f>IFERROR(VLOOKUP(DS31,'[1]M 기준정보'!$B$5:$C$49936,2,0),"")</f>
        <v/>
      </c>
      <c r="DT32" s="50" t="str">
        <f>IFERROR(VLOOKUP(DT31,'[1]M 기준정보'!$B$5:$C$49936,2,0),"")</f>
        <v/>
      </c>
      <c r="DU32" s="50" t="str">
        <f>IFERROR(VLOOKUP(DU31,'[1]M 기준정보'!$B$5:$C$49936,2,0),"")</f>
        <v/>
      </c>
      <c r="DV32" s="50" t="str">
        <f>IFERROR(VLOOKUP(DV31,'[1]M 기준정보'!$B$5:$C$49936,2,0),"")</f>
        <v/>
      </c>
      <c r="DW32" s="50" t="str">
        <f>IFERROR(VLOOKUP(DW31,'[1]M 기준정보'!$B$5:$C$49936,2,0),"")</f>
        <v/>
      </c>
      <c r="DX32" s="50" t="str">
        <f>IFERROR(VLOOKUP(DX31,'[1]M 기준정보'!$B$5:$C$49936,2,0),"")</f>
        <v/>
      </c>
      <c r="DY32" s="50" t="str">
        <f>IFERROR(VLOOKUP(DY31,'[1]M 기준정보'!$B$5:$C$49936,2,0),"")</f>
        <v/>
      </c>
      <c r="DZ32" s="50" t="str">
        <f>IFERROR(VLOOKUP(DZ31,'[1]M 기준정보'!$B$5:$C$49936,2,0),"")</f>
        <v/>
      </c>
      <c r="EA32" s="50" t="str">
        <f>IFERROR(VLOOKUP(EA31,'[1]M 기준정보'!$B$5:$C$49936,2,0),"")</f>
        <v/>
      </c>
      <c r="EB32" s="50" t="str">
        <f>IFERROR(VLOOKUP(EB31,'[1]M 기준정보'!$B$5:$C$49936,2,0),"")</f>
        <v/>
      </c>
      <c r="EC32" s="50" t="str">
        <f>IFERROR(VLOOKUP(EC31,'[1]M 기준정보'!$B$5:$C$49936,2,0),"")</f>
        <v/>
      </c>
      <c r="ED32" s="50" t="str">
        <f>IFERROR(VLOOKUP(ED31,'[1]M 기준정보'!$B$5:$C$49936,2,0),"")</f>
        <v/>
      </c>
      <c r="EE32" s="50" t="str">
        <f>IFERROR(VLOOKUP(EE31,'[1]M 기준정보'!$B$5:$C$49936,2,0),"")</f>
        <v/>
      </c>
      <c r="EF32" s="50" t="str">
        <f>IFERROR(VLOOKUP(EF31,'[1]M 기준정보'!$B$5:$C$49936,2,0),"")</f>
        <v/>
      </c>
    </row>
    <row r="33" spans="1:136" ht="23.25" customHeight="1" thickBot="1" x14ac:dyDescent="0.35">
      <c r="A33" s="49"/>
      <c r="B33" s="51" t="s">
        <v>67</v>
      </c>
      <c r="C33" s="55"/>
      <c r="D33" s="52" t="s">
        <v>87</v>
      </c>
      <c r="E33" s="52" t="s">
        <v>88</v>
      </c>
      <c r="F33" s="52" t="s">
        <v>89</v>
      </c>
      <c r="G33" s="52"/>
      <c r="H33" s="52"/>
      <c r="I33" s="52" t="s">
        <v>90</v>
      </c>
      <c r="J33" s="52" t="s">
        <v>91</v>
      </c>
      <c r="K33" s="52" t="s">
        <v>92</v>
      </c>
      <c r="L33" s="52" t="s">
        <v>93</v>
      </c>
      <c r="M33" s="52" t="s">
        <v>94</v>
      </c>
      <c r="N33" s="52"/>
      <c r="O33" s="52"/>
      <c r="P33" s="52"/>
      <c r="Q33" s="52" t="s">
        <v>95</v>
      </c>
      <c r="R33" s="52"/>
      <c r="S33" s="52" t="s">
        <v>78</v>
      </c>
      <c r="T33" s="52" t="s">
        <v>96</v>
      </c>
      <c r="U33" s="52"/>
      <c r="V33" s="52"/>
      <c r="W33" s="52"/>
      <c r="X33" s="52"/>
      <c r="Y33" s="52"/>
      <c r="Z33" s="52" t="s">
        <v>97</v>
      </c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</row>
    <row r="34" spans="1:136" ht="23.25" hidden="1" customHeight="1" x14ac:dyDescent="0.3">
      <c r="A34" s="49"/>
      <c r="B34" s="53"/>
      <c r="C34" s="54" t="str">
        <f t="shared" ref="C34:BN34" si="3">RIGHT(C33,3)</f>
        <v/>
      </c>
      <c r="D34" s="54" t="str">
        <f t="shared" si="3"/>
        <v xml:space="preserve"> 50</v>
      </c>
      <c r="E34" s="54" t="str">
        <f t="shared" si="3"/>
        <v xml:space="preserve"> 60</v>
      </c>
      <c r="F34" s="54" t="str">
        <f t="shared" si="3"/>
        <v>6 8</v>
      </c>
      <c r="G34" s="54" t="str">
        <f t="shared" si="3"/>
        <v/>
      </c>
      <c r="H34" s="54" t="str">
        <f t="shared" si="3"/>
        <v/>
      </c>
      <c r="I34" s="54" t="str">
        <f t="shared" si="3"/>
        <v>01]</v>
      </c>
      <c r="J34" s="54" t="str">
        <f t="shared" si="3"/>
        <v xml:space="preserve"> 50</v>
      </c>
      <c r="K34" s="54" t="str">
        <f t="shared" si="3"/>
        <v>3 3</v>
      </c>
      <c r="L34" s="54" t="str">
        <f t="shared" si="3"/>
        <v>100</v>
      </c>
      <c r="M34" s="54" t="str">
        <f t="shared" si="3"/>
        <v xml:space="preserve"> 50</v>
      </c>
      <c r="N34" s="54" t="str">
        <f t="shared" si="3"/>
        <v/>
      </c>
      <c r="O34" s="54" t="str">
        <f t="shared" si="3"/>
        <v/>
      </c>
      <c r="P34" s="54" t="str">
        <f t="shared" si="3"/>
        <v/>
      </c>
      <c r="Q34" s="54" t="str">
        <f t="shared" si="3"/>
        <v xml:space="preserve"> 50</v>
      </c>
      <c r="R34" s="54" t="str">
        <f t="shared" si="3"/>
        <v/>
      </c>
      <c r="S34" s="54" t="str">
        <f t="shared" si="3"/>
        <v xml:space="preserve"> 40</v>
      </c>
      <c r="T34" s="54" t="str">
        <f t="shared" si="3"/>
        <v xml:space="preserve"> 50</v>
      </c>
      <c r="U34" s="54" t="str">
        <f t="shared" si="3"/>
        <v/>
      </c>
      <c r="V34" s="54" t="str">
        <f t="shared" si="3"/>
        <v/>
      </c>
      <c r="W34" s="54" t="str">
        <f t="shared" si="3"/>
        <v/>
      </c>
      <c r="X34" s="54" t="str">
        <f t="shared" si="3"/>
        <v/>
      </c>
      <c r="Y34" s="54" t="str">
        <f t="shared" si="3"/>
        <v/>
      </c>
      <c r="Z34" s="54" t="str">
        <f t="shared" si="3"/>
        <v xml:space="preserve"> 40</v>
      </c>
      <c r="AA34" s="54" t="str">
        <f t="shared" si="3"/>
        <v/>
      </c>
      <c r="AB34" s="54" t="str">
        <f t="shared" si="3"/>
        <v/>
      </c>
      <c r="AC34" s="54" t="str">
        <f t="shared" si="3"/>
        <v/>
      </c>
      <c r="AD34" s="54" t="str">
        <f t="shared" si="3"/>
        <v/>
      </c>
      <c r="AE34" s="54" t="str">
        <f t="shared" si="3"/>
        <v/>
      </c>
      <c r="AF34" s="54" t="str">
        <f t="shared" si="3"/>
        <v/>
      </c>
      <c r="AG34" s="54" t="str">
        <f t="shared" si="3"/>
        <v/>
      </c>
      <c r="AH34" s="54" t="str">
        <f t="shared" si="3"/>
        <v/>
      </c>
      <c r="AI34" s="54" t="str">
        <f t="shared" si="3"/>
        <v/>
      </c>
      <c r="AJ34" s="54" t="str">
        <f t="shared" si="3"/>
        <v/>
      </c>
      <c r="AK34" s="54" t="str">
        <f t="shared" si="3"/>
        <v/>
      </c>
      <c r="AL34" s="54" t="str">
        <f t="shared" si="3"/>
        <v/>
      </c>
      <c r="AM34" s="54" t="str">
        <f t="shared" si="3"/>
        <v/>
      </c>
      <c r="AN34" s="54" t="str">
        <f t="shared" si="3"/>
        <v/>
      </c>
      <c r="AO34" s="54" t="str">
        <f t="shared" si="3"/>
        <v/>
      </c>
      <c r="AP34" s="54" t="str">
        <f t="shared" si="3"/>
        <v/>
      </c>
      <c r="AQ34" s="54" t="str">
        <f t="shared" si="3"/>
        <v/>
      </c>
      <c r="AR34" s="54" t="str">
        <f t="shared" si="3"/>
        <v/>
      </c>
      <c r="AS34" s="54" t="str">
        <f t="shared" si="3"/>
        <v/>
      </c>
      <c r="AT34" s="54" t="str">
        <f t="shared" si="3"/>
        <v/>
      </c>
      <c r="AU34" s="54" t="str">
        <f t="shared" si="3"/>
        <v/>
      </c>
      <c r="AV34" s="54" t="str">
        <f t="shared" si="3"/>
        <v/>
      </c>
      <c r="AW34" s="54" t="str">
        <f t="shared" si="3"/>
        <v/>
      </c>
      <c r="AX34" s="54" t="str">
        <f t="shared" si="3"/>
        <v/>
      </c>
      <c r="AY34" s="54" t="str">
        <f t="shared" si="3"/>
        <v/>
      </c>
      <c r="AZ34" s="54" t="str">
        <f t="shared" si="3"/>
        <v/>
      </c>
      <c r="BA34" s="54" t="str">
        <f t="shared" si="3"/>
        <v/>
      </c>
      <c r="BB34" s="54" t="str">
        <f t="shared" si="3"/>
        <v/>
      </c>
      <c r="BC34" s="54" t="str">
        <f t="shared" si="3"/>
        <v/>
      </c>
      <c r="BD34" s="54" t="str">
        <f t="shared" si="3"/>
        <v/>
      </c>
      <c r="BE34" s="54" t="str">
        <f t="shared" si="3"/>
        <v/>
      </c>
      <c r="BF34" s="54" t="str">
        <f t="shared" si="3"/>
        <v/>
      </c>
      <c r="BG34" s="54" t="str">
        <f t="shared" si="3"/>
        <v/>
      </c>
      <c r="BH34" s="54" t="str">
        <f t="shared" si="3"/>
        <v/>
      </c>
      <c r="BI34" s="54" t="str">
        <f t="shared" si="3"/>
        <v/>
      </c>
      <c r="BJ34" s="54" t="str">
        <f t="shared" si="3"/>
        <v/>
      </c>
      <c r="BK34" s="54" t="str">
        <f t="shared" si="3"/>
        <v/>
      </c>
      <c r="BL34" s="54" t="str">
        <f t="shared" si="3"/>
        <v/>
      </c>
      <c r="BM34" s="54" t="str">
        <f t="shared" si="3"/>
        <v/>
      </c>
      <c r="BN34" s="54" t="str">
        <f t="shared" si="3"/>
        <v/>
      </c>
      <c r="BO34" s="54" t="str">
        <f t="shared" ref="BO34:DZ34" si="4">RIGHT(BO33,3)</f>
        <v/>
      </c>
      <c r="BP34" s="54" t="str">
        <f t="shared" si="4"/>
        <v/>
      </c>
      <c r="BQ34" s="54" t="str">
        <f t="shared" si="4"/>
        <v/>
      </c>
      <c r="BR34" s="54" t="str">
        <f t="shared" si="4"/>
        <v/>
      </c>
      <c r="BS34" s="54" t="str">
        <f t="shared" si="4"/>
        <v/>
      </c>
      <c r="BT34" s="54" t="str">
        <f t="shared" si="4"/>
        <v/>
      </c>
      <c r="BU34" s="54" t="str">
        <f t="shared" si="4"/>
        <v/>
      </c>
      <c r="BV34" s="54" t="str">
        <f t="shared" si="4"/>
        <v/>
      </c>
      <c r="BW34" s="54" t="str">
        <f t="shared" si="4"/>
        <v/>
      </c>
      <c r="BX34" s="54" t="str">
        <f t="shared" si="4"/>
        <v/>
      </c>
      <c r="BY34" s="54" t="str">
        <f t="shared" si="4"/>
        <v/>
      </c>
      <c r="BZ34" s="54" t="str">
        <f t="shared" si="4"/>
        <v/>
      </c>
      <c r="CA34" s="54" t="str">
        <f t="shared" si="4"/>
        <v/>
      </c>
      <c r="CB34" s="54" t="str">
        <f t="shared" si="4"/>
        <v/>
      </c>
      <c r="CC34" s="54" t="str">
        <f t="shared" si="4"/>
        <v/>
      </c>
      <c r="CD34" s="54" t="str">
        <f t="shared" si="4"/>
        <v/>
      </c>
      <c r="CE34" s="54" t="str">
        <f t="shared" si="4"/>
        <v/>
      </c>
      <c r="CF34" s="54" t="str">
        <f t="shared" si="4"/>
        <v/>
      </c>
      <c r="CG34" s="54" t="str">
        <f t="shared" si="4"/>
        <v/>
      </c>
      <c r="CH34" s="54" t="str">
        <f t="shared" si="4"/>
        <v/>
      </c>
      <c r="CI34" s="54" t="str">
        <f t="shared" si="4"/>
        <v/>
      </c>
      <c r="CJ34" s="54" t="str">
        <f t="shared" si="4"/>
        <v/>
      </c>
      <c r="CK34" s="54" t="str">
        <f t="shared" si="4"/>
        <v/>
      </c>
      <c r="CL34" s="54" t="str">
        <f t="shared" si="4"/>
        <v/>
      </c>
      <c r="CM34" s="54" t="str">
        <f t="shared" si="4"/>
        <v/>
      </c>
      <c r="CN34" s="54" t="str">
        <f t="shared" si="4"/>
        <v/>
      </c>
      <c r="CO34" s="54" t="str">
        <f t="shared" si="4"/>
        <v/>
      </c>
      <c r="CP34" s="54" t="str">
        <f t="shared" si="4"/>
        <v/>
      </c>
      <c r="CQ34" s="54" t="str">
        <f t="shared" si="4"/>
        <v/>
      </c>
      <c r="CR34" s="54" t="str">
        <f t="shared" si="4"/>
        <v/>
      </c>
      <c r="CS34" s="54" t="str">
        <f t="shared" si="4"/>
        <v/>
      </c>
      <c r="CT34" s="54" t="str">
        <f t="shared" si="4"/>
        <v/>
      </c>
      <c r="CU34" s="54" t="str">
        <f t="shared" si="4"/>
        <v/>
      </c>
      <c r="CV34" s="54" t="str">
        <f t="shared" si="4"/>
        <v/>
      </c>
      <c r="CW34" s="54" t="str">
        <f t="shared" si="4"/>
        <v/>
      </c>
      <c r="CX34" s="54" t="str">
        <f t="shared" si="4"/>
        <v/>
      </c>
      <c r="CY34" s="54" t="str">
        <f t="shared" si="4"/>
        <v/>
      </c>
      <c r="CZ34" s="54" t="str">
        <f t="shared" si="4"/>
        <v/>
      </c>
      <c r="DA34" s="54" t="str">
        <f t="shared" si="4"/>
        <v/>
      </c>
      <c r="DB34" s="54" t="str">
        <f t="shared" si="4"/>
        <v/>
      </c>
      <c r="DC34" s="54" t="str">
        <f t="shared" si="4"/>
        <v/>
      </c>
      <c r="DD34" s="54" t="str">
        <f t="shared" si="4"/>
        <v/>
      </c>
      <c r="DE34" s="54" t="str">
        <f t="shared" si="4"/>
        <v/>
      </c>
      <c r="DF34" s="54" t="str">
        <f t="shared" si="4"/>
        <v/>
      </c>
      <c r="DG34" s="54" t="str">
        <f t="shared" si="4"/>
        <v/>
      </c>
      <c r="DH34" s="54" t="str">
        <f t="shared" si="4"/>
        <v/>
      </c>
      <c r="DI34" s="54" t="str">
        <f t="shared" si="4"/>
        <v/>
      </c>
      <c r="DJ34" s="54" t="str">
        <f t="shared" si="4"/>
        <v/>
      </c>
      <c r="DK34" s="54" t="str">
        <f t="shared" si="4"/>
        <v/>
      </c>
      <c r="DL34" s="54" t="str">
        <f t="shared" si="4"/>
        <v/>
      </c>
      <c r="DM34" s="54" t="str">
        <f t="shared" si="4"/>
        <v/>
      </c>
      <c r="DN34" s="54" t="str">
        <f t="shared" si="4"/>
        <v/>
      </c>
      <c r="DO34" s="54" t="str">
        <f t="shared" si="4"/>
        <v/>
      </c>
      <c r="DP34" s="54" t="str">
        <f t="shared" si="4"/>
        <v/>
      </c>
      <c r="DQ34" s="54" t="str">
        <f t="shared" si="4"/>
        <v/>
      </c>
      <c r="DR34" s="54" t="str">
        <f t="shared" si="4"/>
        <v/>
      </c>
      <c r="DS34" s="54" t="str">
        <f t="shared" si="4"/>
        <v/>
      </c>
      <c r="DT34" s="54" t="str">
        <f t="shared" si="4"/>
        <v/>
      </c>
      <c r="DU34" s="54" t="str">
        <f t="shared" si="4"/>
        <v/>
      </c>
      <c r="DV34" s="54" t="str">
        <f t="shared" si="4"/>
        <v/>
      </c>
      <c r="DW34" s="54" t="str">
        <f t="shared" si="4"/>
        <v/>
      </c>
      <c r="DX34" s="54" t="str">
        <f t="shared" si="4"/>
        <v/>
      </c>
      <c r="DY34" s="54" t="str">
        <f t="shared" si="4"/>
        <v/>
      </c>
      <c r="DZ34" s="54" t="str">
        <f t="shared" si="4"/>
        <v/>
      </c>
      <c r="EA34" s="54" t="str">
        <f t="shared" ref="EA34:EN34" si="5">RIGHT(EA33,3)</f>
        <v/>
      </c>
      <c r="EB34" s="54" t="str">
        <f t="shared" si="5"/>
        <v/>
      </c>
      <c r="EC34" s="54" t="str">
        <f t="shared" si="5"/>
        <v/>
      </c>
      <c r="ED34" s="54" t="str">
        <f t="shared" si="5"/>
        <v/>
      </c>
      <c r="EE34" s="54" t="str">
        <f t="shared" si="5"/>
        <v/>
      </c>
      <c r="EF34" s="54" t="str">
        <f t="shared" si="5"/>
        <v/>
      </c>
    </row>
    <row r="35" spans="1:136" ht="23.25" hidden="1" customHeight="1" thickBot="1" x14ac:dyDescent="0.35">
      <c r="A35" s="49"/>
      <c r="B35" s="30" t="s">
        <v>33</v>
      </c>
      <c r="C35" s="43" t="str">
        <f>IFERROR(VLOOKUP(C31,'[1]M 기준정보'!$B$5:$H$49936,6,0)*C34,"")</f>
        <v/>
      </c>
      <c r="D35" s="43">
        <f>IFERROR(VLOOKUP(D31,'[1]M 기준정보'!$B$5:$H$49936,6,0)*D34,"")</f>
        <v>2.5</v>
      </c>
      <c r="E35" s="43">
        <f>IFERROR(VLOOKUP(E31,'[1]M 기준정보'!$B$5:$H$49936,6,0)*E34,"")</f>
        <v>4.8</v>
      </c>
      <c r="F35" s="43" t="str">
        <f>IFERROR(VLOOKUP(F31,'[1]M 기준정보'!$B$5:$H$49936,6,0)*F34,"")</f>
        <v/>
      </c>
      <c r="G35" s="43" t="str">
        <f>IFERROR(VLOOKUP(G31,'[1]M 기준정보'!$B$5:$H$49936,6,0)*G34,"")</f>
        <v/>
      </c>
      <c r="H35" s="43" t="str">
        <f>IFERROR(VLOOKUP(H31,'[1]M 기준정보'!$B$5:$H$49936,6,0)*H34,"")</f>
        <v/>
      </c>
      <c r="I35" s="43" t="str">
        <f>IFERROR(VLOOKUP(I31,'[1]M 기준정보'!$B$5:$H$49936,6,0)*I34,"")</f>
        <v/>
      </c>
      <c r="J35" s="43">
        <f>IFERROR(VLOOKUP(J31,'[1]M 기준정보'!$B$5:$H$49936,6,0)*J34,"")</f>
        <v>2.5</v>
      </c>
      <c r="K35" s="43" t="str">
        <f>IFERROR(VLOOKUP(K31,'[1]M 기준정보'!$B$5:$H$49936,6,0)*K34,"")</f>
        <v/>
      </c>
      <c r="L35" s="43">
        <f>IFERROR(VLOOKUP(L31,'[1]M 기준정보'!$B$5:$H$49936,6,0)*L34,"")</f>
        <v>12</v>
      </c>
      <c r="M35" s="43">
        <f>IFERROR(VLOOKUP(M31,'[1]M 기준정보'!$B$5:$H$49936,6,0)*M34,"")</f>
        <v>2.5</v>
      </c>
      <c r="N35" s="43" t="str">
        <f>IFERROR(VLOOKUP(N31,'[1]M 기준정보'!$B$5:$H$49936,6,0)*N34,"")</f>
        <v/>
      </c>
      <c r="O35" s="43" t="str">
        <f>IFERROR(VLOOKUP(O31,'[1]M 기준정보'!$B$5:$H$49936,6,0)*O34,"")</f>
        <v/>
      </c>
      <c r="P35" s="43" t="str">
        <f>IFERROR(VLOOKUP(P31,'[1]M 기준정보'!$B$5:$H$49936,6,0)*P34,"")</f>
        <v/>
      </c>
      <c r="Q35" s="43">
        <f>IFERROR(VLOOKUP(Q31,'[1]M 기준정보'!$B$5:$H$49936,6,0)*Q34,"")</f>
        <v>2.5</v>
      </c>
      <c r="R35" s="43" t="str">
        <f>IFERROR(VLOOKUP(R31,'[1]M 기준정보'!$B$5:$H$49936,6,0)*R34,"")</f>
        <v/>
      </c>
      <c r="S35" s="43">
        <f>IFERROR(VLOOKUP(S31,'[1]M 기준정보'!$B$5:$H$49936,6,0)*S34,"")</f>
        <v>3.2</v>
      </c>
      <c r="T35" s="43">
        <f>IFERROR(VLOOKUP(T31,'[1]M 기준정보'!$B$5:$H$49936,6,0)*T34,"")</f>
        <v>2.5</v>
      </c>
      <c r="U35" s="43" t="str">
        <f>IFERROR(VLOOKUP(U31,'[1]M 기준정보'!$B$5:$H$49936,6,0)*U34,"")</f>
        <v/>
      </c>
      <c r="V35" s="43" t="str">
        <f>IFERROR(VLOOKUP(V31,'[1]M 기준정보'!$B$5:$H$49936,6,0)*V34,"")</f>
        <v/>
      </c>
      <c r="W35" s="43" t="str">
        <f>IFERROR(VLOOKUP(W31,'[1]M 기준정보'!$B$5:$H$49936,6,0)*W34,"")</f>
        <v/>
      </c>
      <c r="X35" s="43" t="str">
        <f>IFERROR(VLOOKUP(X31,'[1]M 기준정보'!$B$5:$H$49936,6,0)*X34,"")</f>
        <v/>
      </c>
      <c r="Y35" s="43" t="str">
        <f>IFERROR(VLOOKUP(Y31,'[1]M 기준정보'!$B$5:$H$49936,6,0)*Y34,"")</f>
        <v/>
      </c>
      <c r="Z35" s="43">
        <f>IFERROR(VLOOKUP(Z31,'[1]M 기준정보'!$B$5:$H$49936,6,0)*Z34,"")</f>
        <v>3.2</v>
      </c>
      <c r="AA35" s="43" t="str">
        <f>IFERROR(VLOOKUP(AA31,'[1]M 기준정보'!$B$5:$H$49936,6,0)*AA34,"")</f>
        <v/>
      </c>
      <c r="AB35" s="43" t="str">
        <f>IFERROR(VLOOKUP(AB31,'[1]M 기준정보'!$B$5:$H$49936,6,0)*AB34,"")</f>
        <v/>
      </c>
      <c r="AC35" s="43" t="str">
        <f>IFERROR(VLOOKUP(AC31,'[1]M 기준정보'!$B$5:$H$49936,6,0)*AC34,"")</f>
        <v/>
      </c>
      <c r="AD35" s="43" t="str">
        <f>IFERROR(VLOOKUP(AD31,'[1]M 기준정보'!$B$5:$H$49936,6,0)*AD34,"")</f>
        <v/>
      </c>
      <c r="AE35" s="43" t="str">
        <f>IFERROR(VLOOKUP(AE31,'[1]M 기준정보'!$B$5:$H$49936,6,0)*AE34,"")</f>
        <v/>
      </c>
      <c r="AF35" s="43" t="str">
        <f>IFERROR(VLOOKUP(AF31,'[1]M 기준정보'!$B$5:$H$49936,6,0)*AF34,"")</f>
        <v/>
      </c>
      <c r="AG35" s="43" t="str">
        <f>IFERROR(VLOOKUP(AG31,'[1]M 기준정보'!$B$5:$H$49936,6,0)*AG34,"")</f>
        <v/>
      </c>
      <c r="AH35" s="43" t="str">
        <f>IFERROR(VLOOKUP(AH31,'[1]M 기준정보'!$B$5:$H$49936,6,0)*AH34,"")</f>
        <v/>
      </c>
      <c r="AI35" s="43" t="str">
        <f>IFERROR(VLOOKUP(AI31,'[1]M 기준정보'!$B$5:$H$49936,6,0)*AI34,"")</f>
        <v/>
      </c>
      <c r="AJ35" s="43" t="str">
        <f>IFERROR(VLOOKUP(AJ31,'[1]M 기준정보'!$B$5:$H$49936,6,0)*AJ34,"")</f>
        <v/>
      </c>
      <c r="AK35" s="43" t="str">
        <f>IFERROR(VLOOKUP(AK31,'[1]M 기준정보'!$B$5:$H$49936,6,0)*AK34,"")</f>
        <v/>
      </c>
      <c r="AL35" s="43" t="str">
        <f>IFERROR(VLOOKUP(AL31,'[1]M 기준정보'!$B$5:$H$49936,6,0)*AL34,"")</f>
        <v/>
      </c>
      <c r="AM35" s="43" t="str">
        <f>IFERROR(VLOOKUP(AM31,'[1]M 기준정보'!$B$5:$H$49936,6,0)*AM34,"")</f>
        <v/>
      </c>
      <c r="AN35" s="43" t="str">
        <f>IFERROR(VLOOKUP(AN31,'[1]M 기준정보'!$B$5:$H$49936,6,0)*AN34,"")</f>
        <v/>
      </c>
      <c r="AO35" s="43" t="str">
        <f>IFERROR(VLOOKUP(AO31,'[1]M 기준정보'!$B$5:$H$49936,6,0)*AO34,"")</f>
        <v/>
      </c>
      <c r="AP35" s="43" t="str">
        <f>IFERROR(VLOOKUP(AP31,'[1]M 기준정보'!$B$5:$H$49936,6,0)*AP34,"")</f>
        <v/>
      </c>
      <c r="AQ35" s="43" t="str">
        <f>IFERROR(VLOOKUP(AQ31,'[1]M 기준정보'!$B$5:$H$49936,6,0)*AQ34,"")</f>
        <v/>
      </c>
      <c r="AR35" s="43" t="str">
        <f>IFERROR(VLOOKUP(AR31,'[1]M 기준정보'!$B$5:$H$49936,6,0)*AR34,"")</f>
        <v/>
      </c>
      <c r="AS35" s="43" t="str">
        <f>IFERROR(VLOOKUP(AS31,'[1]M 기준정보'!$B$5:$H$49936,6,0)*AS34,"")</f>
        <v/>
      </c>
      <c r="AT35" s="43" t="str">
        <f>IFERROR(VLOOKUP(AT31,'[1]M 기준정보'!$B$5:$H$49936,6,0)*AT34,"")</f>
        <v/>
      </c>
      <c r="AU35" s="43" t="str">
        <f>IFERROR(VLOOKUP(AU31,'[1]M 기준정보'!$B$5:$H$49936,6,0)*AU34,"")</f>
        <v/>
      </c>
      <c r="AV35" s="43" t="str">
        <f>IFERROR(VLOOKUP(AV31,'[1]M 기준정보'!$B$5:$H$49936,6,0)*AV34,"")</f>
        <v/>
      </c>
      <c r="AW35" s="43" t="str">
        <f>IFERROR(VLOOKUP(AW31,'[1]M 기준정보'!$B$5:$H$49936,6,0)*AW34,"")</f>
        <v/>
      </c>
      <c r="AX35" s="43" t="str">
        <f>IFERROR(VLOOKUP(AX31,'[1]M 기준정보'!$B$5:$H$49936,6,0)*AX34,"")</f>
        <v/>
      </c>
      <c r="AY35" s="43" t="str">
        <f>IFERROR(VLOOKUP(AY31,'[1]M 기준정보'!$B$5:$H$49936,6,0)*AY34,"")</f>
        <v/>
      </c>
      <c r="AZ35" s="43" t="str">
        <f>IFERROR(VLOOKUP(AZ31,'[1]M 기준정보'!$B$5:$H$49936,6,0)*AZ34,"")</f>
        <v/>
      </c>
      <c r="BA35" s="43" t="str">
        <f>IFERROR(VLOOKUP(BA31,'[1]M 기준정보'!$B$5:$H$49936,6,0)*BA34,"")</f>
        <v/>
      </c>
      <c r="BB35" s="43" t="str">
        <f>IFERROR(VLOOKUP(BB31,'[1]M 기준정보'!$B$5:$H$49936,6,0)*BB34,"")</f>
        <v/>
      </c>
      <c r="BC35" s="43" t="str">
        <f>IFERROR(VLOOKUP(BC31,'[1]M 기준정보'!$B$5:$H$49936,6,0)*BC34,"")</f>
        <v/>
      </c>
      <c r="BD35" s="43" t="str">
        <f>IFERROR(VLOOKUP(BD31,'[1]M 기준정보'!$B$5:$H$49936,6,0)*BD34,"")</f>
        <v/>
      </c>
      <c r="BE35" s="43" t="str">
        <f>IFERROR(VLOOKUP(BE31,'[1]M 기준정보'!$B$5:$H$49936,6,0)*BE34,"")</f>
        <v/>
      </c>
      <c r="BF35" s="43" t="str">
        <f>IFERROR(VLOOKUP(BF31,'[1]M 기준정보'!$B$5:$H$49936,6,0)*BF34,"")</f>
        <v/>
      </c>
      <c r="BG35" s="43" t="str">
        <f>IFERROR(VLOOKUP(BG31,'[1]M 기준정보'!$B$5:$H$49936,6,0)*BG34,"")</f>
        <v/>
      </c>
      <c r="BH35" s="43" t="str">
        <f>IFERROR(VLOOKUP(BH31,'[1]M 기준정보'!$B$5:$H$49936,6,0)*BH34,"")</f>
        <v/>
      </c>
      <c r="BI35" s="43" t="str">
        <f>IFERROR(VLOOKUP(BI31,'[1]M 기준정보'!$B$5:$H$49936,6,0)*BI34,"")</f>
        <v/>
      </c>
      <c r="BJ35" s="43" t="str">
        <f>IFERROR(VLOOKUP(BJ31,'[1]M 기준정보'!$B$5:$H$49936,6,0)*BJ34,"")</f>
        <v/>
      </c>
      <c r="BK35" s="43" t="str">
        <f>IFERROR(VLOOKUP(BK31,'[1]M 기준정보'!$B$5:$H$49936,6,0)*BK34,"")</f>
        <v/>
      </c>
      <c r="BL35" s="43" t="str">
        <f>IFERROR(VLOOKUP(BL31,'[1]M 기준정보'!$B$5:$H$49936,6,0)*BL34,"")</f>
        <v/>
      </c>
      <c r="BM35" s="43" t="str">
        <f>IFERROR(VLOOKUP(BM31,'[1]M 기준정보'!$B$5:$H$49936,6,0)*BM34,"")</f>
        <v/>
      </c>
      <c r="BN35" s="43" t="str">
        <f>IFERROR(VLOOKUP(BN31,'[1]M 기준정보'!$B$5:$H$49936,6,0)*BN34,"")</f>
        <v/>
      </c>
      <c r="BO35" s="43" t="str">
        <f>IFERROR(VLOOKUP(BO31,'[1]M 기준정보'!$B$5:$H$49936,6,0)*BO34,"")</f>
        <v/>
      </c>
      <c r="BP35" s="43" t="str">
        <f>IFERROR(VLOOKUP(BP31,'[1]M 기준정보'!$B$5:$H$49936,6,0)*BP34,"")</f>
        <v/>
      </c>
      <c r="BQ35" s="43" t="str">
        <f>IFERROR(VLOOKUP(BQ31,'[1]M 기준정보'!$B$5:$H$49936,6,0)*BQ34,"")</f>
        <v/>
      </c>
      <c r="BR35" s="43" t="str">
        <f>IFERROR(VLOOKUP(BR31,'[1]M 기준정보'!$B$5:$H$49936,6,0)*BR34,"")</f>
        <v/>
      </c>
      <c r="BS35" s="43" t="str">
        <f>IFERROR(VLOOKUP(BS31,'[1]M 기준정보'!$B$5:$H$49936,6,0)*BS34,"")</f>
        <v/>
      </c>
      <c r="BT35" s="43" t="str">
        <f>IFERROR(VLOOKUP(BT31,'[1]M 기준정보'!$B$5:$H$49936,6,0)*BT34,"")</f>
        <v/>
      </c>
      <c r="BU35" s="43" t="str">
        <f>IFERROR(VLOOKUP(BU31,'[1]M 기준정보'!$B$5:$H$49936,6,0)*BU34,"")</f>
        <v/>
      </c>
      <c r="BV35" s="43" t="str">
        <f>IFERROR(VLOOKUP(BV31,'[1]M 기준정보'!$B$5:$H$49936,6,0)*BV34,"")</f>
        <v/>
      </c>
      <c r="BW35" s="43" t="str">
        <f>IFERROR(VLOOKUP(BW31,'[1]M 기준정보'!$B$5:$H$49936,6,0)*BW34,"")</f>
        <v/>
      </c>
      <c r="BX35" s="43" t="str">
        <f>IFERROR(VLOOKUP(BX31,'[1]M 기준정보'!$B$5:$H$49936,6,0)*BX34,"")</f>
        <v/>
      </c>
      <c r="BY35" s="43" t="str">
        <f>IFERROR(VLOOKUP(BY31,'[1]M 기준정보'!$B$5:$H$49936,6,0)*BY34,"")</f>
        <v/>
      </c>
      <c r="BZ35" s="43" t="str">
        <f>IFERROR(VLOOKUP(BZ31,'[1]M 기준정보'!$B$5:$H$49936,6,0)*BZ34,"")</f>
        <v/>
      </c>
      <c r="CA35" s="43" t="str">
        <f>IFERROR(VLOOKUP(CA31,'[1]M 기준정보'!$B$5:$H$49936,6,0)*CA34,"")</f>
        <v/>
      </c>
      <c r="CB35" s="43" t="str">
        <f>IFERROR(VLOOKUP(CB31,'[1]M 기준정보'!$B$5:$H$49936,6,0)*CB34,"")</f>
        <v/>
      </c>
      <c r="CC35" s="43" t="str">
        <f>IFERROR(VLOOKUP(CC31,'[1]M 기준정보'!$B$5:$H$49936,6,0)*CC34,"")</f>
        <v/>
      </c>
      <c r="CD35" s="43" t="str">
        <f>IFERROR(VLOOKUP(CD31,'[1]M 기준정보'!$B$5:$H$49936,6,0)*CD34,"")</f>
        <v/>
      </c>
      <c r="CE35" s="43" t="str">
        <f>IFERROR(VLOOKUP(CE31,'[1]M 기준정보'!$B$5:$H$49936,6,0)*CE34,"")</f>
        <v/>
      </c>
      <c r="CF35" s="43" t="str">
        <f>IFERROR(VLOOKUP(CF31,'[1]M 기준정보'!$B$5:$H$49936,6,0)*CF34,"")</f>
        <v/>
      </c>
      <c r="CG35" s="43" t="str">
        <f>IFERROR(VLOOKUP(CG31,'[1]M 기준정보'!$B$5:$H$49936,6,0)*CG34,"")</f>
        <v/>
      </c>
      <c r="CH35" s="43" t="str">
        <f>IFERROR(VLOOKUP(CH31,'[1]M 기준정보'!$B$5:$H$49936,6,0)*CH34,"")</f>
        <v/>
      </c>
      <c r="CI35" s="43" t="str">
        <f>IFERROR(VLOOKUP(CI31,'[1]M 기준정보'!$B$5:$H$49936,6,0)*CI34,"")</f>
        <v/>
      </c>
      <c r="CJ35" s="43" t="str">
        <f>IFERROR(VLOOKUP(CJ31,'[1]M 기준정보'!$B$5:$H$49936,6,0)*CJ34,"")</f>
        <v/>
      </c>
      <c r="CK35" s="43" t="str">
        <f>IFERROR(VLOOKUP(CK31,'[1]M 기준정보'!$B$5:$H$49936,6,0)*CK34,"")</f>
        <v/>
      </c>
      <c r="CL35" s="43" t="str">
        <f>IFERROR(VLOOKUP(CL31,'[1]M 기준정보'!$B$5:$H$49936,6,0)*CL34,"")</f>
        <v/>
      </c>
      <c r="CM35" s="43" t="str">
        <f>IFERROR(VLOOKUP(CM31,'[1]M 기준정보'!$B$5:$H$49936,6,0)*CM34,"")</f>
        <v/>
      </c>
      <c r="CN35" s="43" t="str">
        <f>IFERROR(VLOOKUP(CN31,'[1]M 기준정보'!$B$5:$H$49936,6,0)*CN34,"")</f>
        <v/>
      </c>
      <c r="CO35" s="43" t="str">
        <f>IFERROR(VLOOKUP(CO31,'[1]M 기준정보'!$B$5:$H$49936,6,0)*CO34,"")</f>
        <v/>
      </c>
      <c r="CP35" s="43" t="str">
        <f>IFERROR(VLOOKUP(CP31,'[1]M 기준정보'!$B$5:$H$49936,6,0)*CP34,"")</f>
        <v/>
      </c>
      <c r="CQ35" s="43" t="str">
        <f>IFERROR(VLOOKUP(CQ31,'[1]M 기준정보'!$B$5:$H$49936,6,0)*CQ34,"")</f>
        <v/>
      </c>
      <c r="CR35" s="43" t="str">
        <f>IFERROR(VLOOKUP(CR31,'[1]M 기준정보'!$B$5:$H$49936,6,0)*CR34,"")</f>
        <v/>
      </c>
      <c r="CS35" s="43" t="str">
        <f>IFERROR(VLOOKUP(CS31,'[1]M 기준정보'!$B$5:$H$49936,6,0)*CS34,"")</f>
        <v/>
      </c>
      <c r="CT35" s="43" t="str">
        <f>IFERROR(VLOOKUP(CT31,'[1]M 기준정보'!$B$5:$H$49936,6,0)*CT34,"")</f>
        <v/>
      </c>
      <c r="CU35" s="43" t="str">
        <f>IFERROR(VLOOKUP(CU31,'[1]M 기준정보'!$B$5:$H$49936,6,0)*CU34,"")</f>
        <v/>
      </c>
      <c r="CV35" s="43" t="str">
        <f>IFERROR(VLOOKUP(CV31,'[1]M 기준정보'!$B$5:$H$49936,6,0)*CV34,"")</f>
        <v/>
      </c>
      <c r="CW35" s="43" t="str">
        <f>IFERROR(VLOOKUP(CW31,'[1]M 기준정보'!$B$5:$H$49936,6,0)*CW34,"")</f>
        <v/>
      </c>
      <c r="CX35" s="43" t="str">
        <f>IFERROR(VLOOKUP(CX31,'[1]M 기준정보'!$B$5:$H$49936,6,0)*CX34,"")</f>
        <v/>
      </c>
      <c r="CY35" s="43" t="str">
        <f>IFERROR(VLOOKUP(CY31,'[1]M 기준정보'!$B$5:$H$49936,6,0)*CY34,"")</f>
        <v/>
      </c>
      <c r="CZ35" s="43" t="str">
        <f>IFERROR(VLOOKUP(CZ31,'[1]M 기준정보'!$B$5:$H$49936,6,0)*CZ34,"")</f>
        <v/>
      </c>
      <c r="DA35" s="43" t="str">
        <f>IFERROR(VLOOKUP(DA31,'[1]M 기준정보'!$B$5:$H$49936,6,0)*DA34,"")</f>
        <v/>
      </c>
      <c r="DB35" s="43" t="str">
        <f>IFERROR(VLOOKUP(DB31,'[1]M 기준정보'!$B$5:$H$49936,6,0)*DB34,"")</f>
        <v/>
      </c>
      <c r="DC35" s="43" t="str">
        <f>IFERROR(VLOOKUP(DC31,'[1]M 기준정보'!$B$5:$H$49936,6,0)*DC34,"")</f>
        <v/>
      </c>
      <c r="DD35" s="43" t="str">
        <f>IFERROR(VLOOKUP(DD31,'[1]M 기준정보'!$B$5:$H$49936,6,0)*DD34,"")</f>
        <v/>
      </c>
      <c r="DE35" s="43" t="str">
        <f>IFERROR(VLOOKUP(DE31,'[1]M 기준정보'!$B$5:$H$49936,6,0)*DE34,"")</f>
        <v/>
      </c>
      <c r="DF35" s="43" t="str">
        <f>IFERROR(VLOOKUP(DF31,'[1]M 기준정보'!$B$5:$H$49936,6,0)*DF34,"")</f>
        <v/>
      </c>
      <c r="DG35" s="43" t="str">
        <f>IFERROR(VLOOKUP(DG31,'[1]M 기준정보'!$B$5:$H$49936,6,0)*DG34,"")</f>
        <v/>
      </c>
      <c r="DH35" s="43" t="str">
        <f>IFERROR(VLOOKUP(DH31,'[1]M 기준정보'!$B$5:$H$49936,6,0)*DH34,"")</f>
        <v/>
      </c>
      <c r="DI35" s="43" t="str">
        <f>IFERROR(VLOOKUP(DI31,'[1]M 기준정보'!$B$5:$H$49936,6,0)*DI34,"")</f>
        <v/>
      </c>
      <c r="DJ35" s="43" t="str">
        <f>IFERROR(VLOOKUP(DJ31,'[1]M 기준정보'!$B$5:$H$49936,6,0)*DJ34,"")</f>
        <v/>
      </c>
      <c r="DK35" s="43" t="str">
        <f>IFERROR(VLOOKUP(DK31,'[1]M 기준정보'!$B$5:$H$49936,6,0)*DK34,"")</f>
        <v/>
      </c>
      <c r="DL35" s="43" t="str">
        <f>IFERROR(VLOOKUP(DL31,'[1]M 기준정보'!$B$5:$H$49936,6,0)*DL34,"")</f>
        <v/>
      </c>
      <c r="DM35" s="43" t="str">
        <f>IFERROR(VLOOKUP(DM31,'[1]M 기준정보'!$B$5:$H$49936,6,0)*DM34,"")</f>
        <v/>
      </c>
      <c r="DN35" s="43" t="str">
        <f>IFERROR(VLOOKUP(DN31,'[1]M 기준정보'!$B$5:$H$49936,6,0)*DN34,"")</f>
        <v/>
      </c>
      <c r="DO35" s="43" t="str">
        <f>IFERROR(VLOOKUP(DO31,'[1]M 기준정보'!$B$5:$H$49936,6,0)*DO34,"")</f>
        <v/>
      </c>
      <c r="DP35" s="43" t="str">
        <f>IFERROR(VLOOKUP(DP31,'[1]M 기준정보'!$B$5:$H$49936,6,0)*DP34,"")</f>
        <v/>
      </c>
      <c r="DQ35" s="43" t="str">
        <f>IFERROR(VLOOKUP(DQ31,'[1]M 기준정보'!$B$5:$H$49936,6,0)*DQ34,"")</f>
        <v/>
      </c>
      <c r="DR35" s="43" t="str">
        <f>IFERROR(VLOOKUP(DR31,'[1]M 기준정보'!$B$5:$H$49936,6,0)*DR34,"")</f>
        <v/>
      </c>
      <c r="DS35" s="43" t="str">
        <f>IFERROR(VLOOKUP(DS31,'[1]M 기준정보'!$B$5:$H$49936,6,0)*DS34,"")</f>
        <v/>
      </c>
      <c r="DT35" s="43" t="str">
        <f>IFERROR(VLOOKUP(DT31,'[1]M 기준정보'!$B$5:$H$49936,6,0)*DT34,"")</f>
        <v/>
      </c>
      <c r="DU35" s="43" t="str">
        <f>IFERROR(VLOOKUP(DU31,'[1]M 기준정보'!$B$5:$H$49936,6,0)*DU34,"")</f>
        <v/>
      </c>
      <c r="DV35" s="43" t="str">
        <f>IFERROR(VLOOKUP(DV31,'[1]M 기준정보'!$B$5:$H$49936,6,0)*DV34,"")</f>
        <v/>
      </c>
      <c r="DW35" s="43" t="str">
        <f>IFERROR(VLOOKUP(DW31,'[1]M 기준정보'!$B$5:$H$49936,6,0)*DW34,"")</f>
        <v/>
      </c>
      <c r="DX35" s="43" t="str">
        <f>IFERROR(VLOOKUP(DX31,'[1]M 기준정보'!$B$5:$H$49936,6,0)*DX34,"")</f>
        <v/>
      </c>
      <c r="DY35" s="43" t="str">
        <f>IFERROR(VLOOKUP(DY31,'[1]M 기준정보'!$B$5:$H$49936,6,0)*DY34,"")</f>
        <v/>
      </c>
      <c r="DZ35" s="43" t="str">
        <f>IFERROR(VLOOKUP(DZ31,'[1]M 기준정보'!$B$5:$H$49936,6,0)*DZ34,"")</f>
        <v/>
      </c>
      <c r="EA35" s="43" t="str">
        <f>IFERROR(VLOOKUP(EA31,'[1]M 기준정보'!$B$5:$H$49936,6,0)*EA34,"")</f>
        <v/>
      </c>
      <c r="EB35" s="43" t="str">
        <f>IFERROR(VLOOKUP(EB31,'[1]M 기준정보'!$B$5:$H$49936,6,0)*EB34,"")</f>
        <v/>
      </c>
      <c r="EC35" s="43" t="str">
        <f>IFERROR(VLOOKUP(EC31,'[1]M 기준정보'!$B$5:$H$49936,6,0)*EC34,"")</f>
        <v/>
      </c>
      <c r="ED35" s="43" t="str">
        <f>IFERROR(VLOOKUP(ED31,'[1]M 기준정보'!$B$5:$H$49936,6,0)*ED34,"")</f>
        <v/>
      </c>
      <c r="EE35" s="43" t="str">
        <f>IFERROR(VLOOKUP(EE31,'[1]M 기준정보'!$B$5:$H$49936,6,0)*EE34,"")</f>
        <v/>
      </c>
      <c r="EF35" s="43" t="str">
        <f>IFERROR(VLOOKUP(EF31,'[1]M 기준정보'!$B$5:$H$49936,6,0)*EF34,"")</f>
        <v/>
      </c>
    </row>
    <row r="36" spans="1:136" ht="23.25" customHeight="1" x14ac:dyDescent="0.3">
      <c r="A36" s="49"/>
      <c r="B36" s="14" t="s">
        <v>15</v>
      </c>
      <c r="C36" s="16"/>
      <c r="D36" s="16"/>
      <c r="E36" s="18" t="s">
        <v>18</v>
      </c>
      <c r="F36" s="38" t="s">
        <v>98</v>
      </c>
      <c r="G36" s="16"/>
      <c r="H36" s="16"/>
      <c r="I36" s="16"/>
      <c r="J36" s="36" t="s">
        <v>43</v>
      </c>
      <c r="K36" s="37" t="s">
        <v>45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1" t="s">
        <v>99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</row>
    <row r="37" spans="1:136" ht="20.25" customHeight="1" x14ac:dyDescent="0.3">
      <c r="A37" s="49"/>
      <c r="B37" s="23" t="s">
        <v>66</v>
      </c>
      <c r="C37" s="50" t="str">
        <f>IFERROR(VLOOKUP(C36,'[1]M 기준정보'!$B$5:$C$49936,2,0),"")</f>
        <v/>
      </c>
      <c r="D37" s="50" t="str">
        <f>IFERROR(VLOOKUP(D36,'[1]M 기준정보'!$B$5:$C$49936,2,0),"")</f>
        <v/>
      </c>
      <c r="E37" s="50" t="str">
        <f>IFERROR(VLOOKUP(E36,'[1]M 기준정보'!$B$5:$C$49936,2,0),"")</f>
        <v>S6133 GRIFFIN [13.3"] [Junifer]</v>
      </c>
      <c r="F37" s="50" t="str">
        <f>IFERROR(VLOOKUP(F36,'[1]M 기준정보'!$B$5:$C$49936,2,0),"")</f>
        <v>EPS7150-11G(i5) DUAL ASSY[팜마트]</v>
      </c>
      <c r="G37" s="50" t="str">
        <f>IFERROR(VLOOKUP(G36,'[1]M 기준정보'!$B$5:$C$49936,2,0),"")</f>
        <v/>
      </c>
      <c r="H37" s="50" t="str">
        <f>IFERROR(VLOOKUP(H36,'[1]M 기준정보'!$B$5:$C$49936,2,0),"")</f>
        <v/>
      </c>
      <c r="I37" s="50" t="str">
        <f>IFERROR(VLOOKUP(I36,'[1]M 기준정보'!$B$5:$C$49936,2,0),"")</f>
        <v/>
      </c>
      <c r="J37" s="50" t="str">
        <f>IFERROR(VLOOKUP(J36,'[1]M 기준정보'!$B$5:$C$49936,2,0),"")</f>
        <v>EPS7150 DUAL [ i5 7세대, 15" 슈마커향]</v>
      </c>
      <c r="K37" s="50" t="str">
        <f>IFERROR(VLOOKUP(K36,'[1]M 기준정보'!$B$5:$C$49936,2,0),"")</f>
        <v>T20i (i3-12세대) DUAL ,PP211[이마트24]</v>
      </c>
      <c r="L37" s="50" t="str">
        <f>IFERROR(VLOOKUP(L36,'[1]M 기준정보'!$B$5:$C$49936,2,0),"")</f>
        <v/>
      </c>
      <c r="M37" s="50" t="str">
        <f>IFERROR(VLOOKUP(M36,'[1]M 기준정보'!$B$5:$C$49936,2,0),"")</f>
        <v/>
      </c>
      <c r="N37" s="50" t="str">
        <f>IFERROR(VLOOKUP(N36,'[1]M 기준정보'!$B$5:$C$49936,2,0),"")</f>
        <v/>
      </c>
      <c r="O37" s="50" t="str">
        <f>IFERROR(VLOOKUP(O36,'[1]M 기준정보'!$B$5:$C$49936,2,0),"")</f>
        <v/>
      </c>
      <c r="P37" s="50" t="str">
        <f>IFERROR(VLOOKUP(P36,'[1]M 기준정보'!$B$5:$C$49936,2,0),"")</f>
        <v/>
      </c>
      <c r="Q37" s="50" t="str">
        <f>IFERROR(VLOOKUP(Q36,'[1]M 기준정보'!$B$5:$C$49936,2,0),"")</f>
        <v/>
      </c>
      <c r="R37" s="50" t="str">
        <f>IFERROR(VLOOKUP(R36,'[1]M 기준정보'!$B$5:$C$49936,2,0),"")</f>
        <v/>
      </c>
      <c r="S37" s="50" t="str">
        <f>IFERROR(VLOOKUP(S36,'[1]M 기준정보'!$B$5:$C$49936,2,0),"")</f>
        <v/>
      </c>
      <c r="T37" s="50" t="str">
        <f>IFERROR(VLOOKUP(T36,'[1]M 기준정보'!$B$5:$C$49936,2,0),"")</f>
        <v/>
      </c>
      <c r="U37" s="50" t="str">
        <f>IFERROR(VLOOKUP(U36,'[1]M 기준정보'!$B$5:$C$49936,2,0),"")</f>
        <v/>
      </c>
      <c r="V37" s="50" t="str">
        <f>IFERROR(VLOOKUP(V36,'[1]M 기준정보'!$B$5:$C$49936,2,0),"")</f>
        <v/>
      </c>
      <c r="W37" s="50" t="str">
        <f>IFERROR(VLOOKUP(W36,'[1]M 기준정보'!$B$5:$C$49936,2,0),"")</f>
        <v/>
      </c>
      <c r="X37" s="50" t="str">
        <f>IFERROR(VLOOKUP(X36,'[1]M 기준정보'!$B$5:$C$49936,2,0),"")</f>
        <v/>
      </c>
      <c r="Y37" s="50" t="str">
        <f>IFERROR(VLOOKUP(Y36,'[1]M 기준정보'!$B$5:$C$49936,2,0),"")</f>
        <v/>
      </c>
      <c r="Z37" s="50" t="str">
        <f>IFERROR(VLOOKUP(Z36,'[1]M 기준정보'!$B$5:$C$49936,2,0),"")</f>
        <v>S6133-NT(NEWTREE) FRU [지멘스]</v>
      </c>
      <c r="AA37" s="50" t="str">
        <f>IFERROR(VLOOKUP(AA36,'[1]M 기준정보'!$B$5:$C$49936,2,0),"")</f>
        <v/>
      </c>
      <c r="AB37" s="50" t="str">
        <f>IFERROR(VLOOKUP(AB36,'[1]M 기준정보'!$B$5:$C$49936,2,0),"")</f>
        <v/>
      </c>
      <c r="AC37" s="50" t="str">
        <f>IFERROR(VLOOKUP(AC36,'[1]M 기준정보'!$B$5:$C$49936,2,0),"")</f>
        <v/>
      </c>
      <c r="AD37" s="50" t="str">
        <f>IFERROR(VLOOKUP(AD36,'[1]M 기준정보'!$B$5:$C$49936,2,0),"")</f>
        <v/>
      </c>
      <c r="AE37" s="50" t="str">
        <f>IFERROR(VLOOKUP(AE36,'[1]M 기준정보'!$B$5:$C$49936,2,0),"")</f>
        <v/>
      </c>
      <c r="AF37" s="50" t="str">
        <f>IFERROR(VLOOKUP(AF36,'[1]M 기준정보'!$B$5:$C$49936,2,0),"")</f>
        <v/>
      </c>
      <c r="AG37" s="50" t="str">
        <f>IFERROR(VLOOKUP(AG36,'[1]M 기준정보'!$B$5:$C$49936,2,0),"")</f>
        <v/>
      </c>
      <c r="AH37" s="50" t="str">
        <f>IFERROR(VLOOKUP(AH36,'[1]M 기준정보'!$B$5:$C$49936,2,0),"")</f>
        <v/>
      </c>
      <c r="AI37" s="50" t="str">
        <f>IFERROR(VLOOKUP(AI36,'[1]M 기준정보'!$B$5:$C$49936,2,0),"")</f>
        <v/>
      </c>
      <c r="AJ37" s="50" t="str">
        <f>IFERROR(VLOOKUP(AJ36,'[1]M 기준정보'!$B$5:$C$49936,2,0),"")</f>
        <v/>
      </c>
      <c r="AK37" s="50" t="str">
        <f>IFERROR(VLOOKUP(AK36,'[1]M 기준정보'!$B$5:$C$49936,2,0),"")</f>
        <v/>
      </c>
      <c r="AL37" s="50" t="str">
        <f>IFERROR(VLOOKUP(AL36,'[1]M 기준정보'!$B$5:$C$49936,2,0),"")</f>
        <v/>
      </c>
      <c r="AM37" s="50" t="str">
        <f>IFERROR(VLOOKUP(AM36,'[1]M 기준정보'!$B$5:$C$49936,2,0),"")</f>
        <v/>
      </c>
      <c r="AN37" s="50" t="str">
        <f>IFERROR(VLOOKUP(AN36,'[1]M 기준정보'!$B$5:$C$49936,2,0),"")</f>
        <v/>
      </c>
      <c r="AO37" s="50" t="str">
        <f>IFERROR(VLOOKUP(AO36,'[1]M 기준정보'!$B$5:$C$49936,2,0),"")</f>
        <v/>
      </c>
      <c r="AP37" s="50" t="str">
        <f>IFERROR(VLOOKUP(AP36,'[1]M 기준정보'!$B$5:$C$49936,2,0),"")</f>
        <v/>
      </c>
      <c r="AQ37" s="50" t="str">
        <f>IFERROR(VLOOKUP(AQ36,'[1]M 기준정보'!$B$5:$C$49936,2,0),"")</f>
        <v/>
      </c>
      <c r="AR37" s="50" t="str">
        <f>IFERROR(VLOOKUP(AR36,'[1]M 기준정보'!$B$5:$C$49936,2,0),"")</f>
        <v/>
      </c>
      <c r="AS37" s="50" t="str">
        <f>IFERROR(VLOOKUP(AS36,'[1]M 기준정보'!$B$5:$C$49936,2,0),"")</f>
        <v/>
      </c>
      <c r="AT37" s="50" t="str">
        <f>IFERROR(VLOOKUP(AT36,'[1]M 기준정보'!$B$5:$C$49936,2,0),"")</f>
        <v/>
      </c>
      <c r="AU37" s="50" t="str">
        <f>IFERROR(VLOOKUP(AU36,'[1]M 기준정보'!$B$5:$C$49936,2,0),"")</f>
        <v/>
      </c>
      <c r="AV37" s="50" t="str">
        <f>IFERROR(VLOOKUP(AV36,'[1]M 기준정보'!$B$5:$C$49936,2,0),"")</f>
        <v/>
      </c>
      <c r="AW37" s="50" t="str">
        <f>IFERROR(VLOOKUP(AW36,'[1]M 기준정보'!$B$5:$C$49936,2,0),"")</f>
        <v/>
      </c>
      <c r="AX37" s="50" t="str">
        <f>IFERROR(VLOOKUP(AX36,'[1]M 기준정보'!$B$5:$C$49936,2,0),"")</f>
        <v/>
      </c>
      <c r="AY37" s="50" t="str">
        <f>IFERROR(VLOOKUP(AY36,'[1]M 기준정보'!$B$5:$C$49936,2,0),"")</f>
        <v/>
      </c>
      <c r="AZ37" s="50" t="str">
        <f>IFERROR(VLOOKUP(AZ36,'[1]M 기준정보'!$B$5:$C$49936,2,0),"")</f>
        <v/>
      </c>
      <c r="BA37" s="50" t="str">
        <f>IFERROR(VLOOKUP(BA36,'[1]M 기준정보'!$B$5:$C$49936,2,0),"")</f>
        <v/>
      </c>
      <c r="BB37" s="50" t="str">
        <f>IFERROR(VLOOKUP(BB36,'[1]M 기준정보'!$B$5:$C$49936,2,0),"")</f>
        <v/>
      </c>
      <c r="BC37" s="50" t="str">
        <f>IFERROR(VLOOKUP(BC36,'[1]M 기준정보'!$B$5:$C$49936,2,0),"")</f>
        <v/>
      </c>
      <c r="BD37" s="50" t="str">
        <f>IFERROR(VLOOKUP(BD36,'[1]M 기준정보'!$B$5:$C$49936,2,0),"")</f>
        <v/>
      </c>
      <c r="BE37" s="50" t="str">
        <f>IFERROR(VLOOKUP(BE36,'[1]M 기준정보'!$B$5:$C$49936,2,0),"")</f>
        <v/>
      </c>
      <c r="BF37" s="50" t="str">
        <f>IFERROR(VLOOKUP(BF36,'[1]M 기준정보'!$B$5:$C$49936,2,0),"")</f>
        <v/>
      </c>
      <c r="BG37" s="50" t="str">
        <f>IFERROR(VLOOKUP(BG36,'[1]M 기준정보'!$B$5:$C$49936,2,0),"")</f>
        <v/>
      </c>
      <c r="BH37" s="50" t="str">
        <f>IFERROR(VLOOKUP(BH36,'[1]M 기준정보'!$B$5:$C$49936,2,0),"")</f>
        <v/>
      </c>
      <c r="BI37" s="50" t="str">
        <f>IFERROR(VLOOKUP(BI36,'[1]M 기준정보'!$B$5:$C$49936,2,0),"")</f>
        <v/>
      </c>
      <c r="BJ37" s="50" t="str">
        <f>IFERROR(VLOOKUP(BJ36,'[1]M 기준정보'!$B$5:$C$49936,2,0),"")</f>
        <v/>
      </c>
      <c r="BK37" s="50" t="str">
        <f>IFERROR(VLOOKUP(BK36,'[1]M 기준정보'!$B$5:$C$49936,2,0),"")</f>
        <v/>
      </c>
      <c r="BL37" s="50" t="str">
        <f>IFERROR(VLOOKUP(BL36,'[1]M 기준정보'!$B$5:$C$49936,2,0),"")</f>
        <v/>
      </c>
      <c r="BM37" s="50" t="str">
        <f>IFERROR(VLOOKUP(BM36,'[1]M 기준정보'!$B$5:$C$49936,2,0),"")</f>
        <v/>
      </c>
      <c r="BN37" s="50" t="str">
        <f>IFERROR(VLOOKUP(BN36,'[1]M 기준정보'!$B$5:$C$49936,2,0),"")</f>
        <v/>
      </c>
      <c r="BO37" s="50" t="str">
        <f>IFERROR(VLOOKUP(BO36,'[1]M 기준정보'!$B$5:$C$49936,2,0),"")</f>
        <v/>
      </c>
      <c r="BP37" s="50" t="str">
        <f>IFERROR(VLOOKUP(BP36,'[1]M 기준정보'!$B$5:$C$49936,2,0),"")</f>
        <v/>
      </c>
      <c r="BQ37" s="50" t="str">
        <f>IFERROR(VLOOKUP(BQ36,'[1]M 기준정보'!$B$5:$C$49936,2,0),"")</f>
        <v/>
      </c>
      <c r="BR37" s="50" t="str">
        <f>IFERROR(VLOOKUP(BR36,'[1]M 기준정보'!$B$5:$C$49936,2,0),"")</f>
        <v/>
      </c>
      <c r="BS37" s="50" t="str">
        <f>IFERROR(VLOOKUP(BS36,'[1]M 기준정보'!$B$5:$C$49936,2,0),"")</f>
        <v/>
      </c>
      <c r="BT37" s="50" t="str">
        <f>IFERROR(VLOOKUP(BT36,'[1]M 기준정보'!$B$5:$C$49936,2,0),"")</f>
        <v/>
      </c>
      <c r="BU37" s="50" t="str">
        <f>IFERROR(VLOOKUP(BU36,'[1]M 기준정보'!$B$5:$C$49936,2,0),"")</f>
        <v/>
      </c>
      <c r="BV37" s="50" t="str">
        <f>IFERROR(VLOOKUP(BV36,'[1]M 기준정보'!$B$5:$C$49936,2,0),"")</f>
        <v/>
      </c>
      <c r="BW37" s="50" t="str">
        <f>IFERROR(VLOOKUP(BW36,'[1]M 기준정보'!$B$5:$C$49936,2,0),"")</f>
        <v/>
      </c>
      <c r="BX37" s="50" t="str">
        <f>IFERROR(VLOOKUP(BX36,'[1]M 기준정보'!$B$5:$C$49936,2,0),"")</f>
        <v/>
      </c>
      <c r="BY37" s="50" t="str">
        <f>IFERROR(VLOOKUP(BY36,'[1]M 기준정보'!$B$5:$C$49936,2,0),"")</f>
        <v/>
      </c>
      <c r="BZ37" s="50" t="str">
        <f>IFERROR(VLOOKUP(BZ36,'[1]M 기준정보'!$B$5:$C$49936,2,0),"")</f>
        <v/>
      </c>
      <c r="CA37" s="50" t="str">
        <f>IFERROR(VLOOKUP(CA36,'[1]M 기준정보'!$B$5:$C$49936,2,0),"")</f>
        <v/>
      </c>
      <c r="CB37" s="50" t="str">
        <f>IFERROR(VLOOKUP(CB36,'[1]M 기준정보'!$B$5:$C$49936,2,0),"")</f>
        <v/>
      </c>
      <c r="CC37" s="50" t="str">
        <f>IFERROR(VLOOKUP(CC36,'[1]M 기준정보'!$B$5:$C$49936,2,0),"")</f>
        <v/>
      </c>
      <c r="CD37" s="50" t="str">
        <f>IFERROR(VLOOKUP(CD36,'[1]M 기준정보'!$B$5:$C$49936,2,0),"")</f>
        <v/>
      </c>
      <c r="CE37" s="50" t="str">
        <f>IFERROR(VLOOKUP(CE36,'[1]M 기준정보'!$B$5:$C$49936,2,0),"")</f>
        <v/>
      </c>
      <c r="CF37" s="50" t="str">
        <f>IFERROR(VLOOKUP(CF36,'[1]M 기준정보'!$B$5:$C$49936,2,0),"")</f>
        <v/>
      </c>
      <c r="CG37" s="50" t="str">
        <f>IFERROR(VLOOKUP(CG36,'[1]M 기준정보'!$B$5:$C$49936,2,0),"")</f>
        <v/>
      </c>
      <c r="CH37" s="50" t="str">
        <f>IFERROR(VLOOKUP(CH36,'[1]M 기준정보'!$B$5:$C$49936,2,0),"")</f>
        <v/>
      </c>
      <c r="CI37" s="50" t="str">
        <f>IFERROR(VLOOKUP(CI36,'[1]M 기준정보'!$B$5:$C$49936,2,0),"")</f>
        <v/>
      </c>
      <c r="CJ37" s="50" t="str">
        <f>IFERROR(VLOOKUP(CJ36,'[1]M 기준정보'!$B$5:$C$49936,2,0),"")</f>
        <v/>
      </c>
      <c r="CK37" s="50" t="str">
        <f>IFERROR(VLOOKUP(CK36,'[1]M 기준정보'!$B$5:$C$49936,2,0),"")</f>
        <v/>
      </c>
      <c r="CL37" s="50" t="str">
        <f>IFERROR(VLOOKUP(CL36,'[1]M 기준정보'!$B$5:$C$49936,2,0),"")</f>
        <v/>
      </c>
      <c r="CM37" s="50" t="str">
        <f>IFERROR(VLOOKUP(CM36,'[1]M 기준정보'!$B$5:$C$49936,2,0),"")</f>
        <v/>
      </c>
      <c r="CN37" s="50" t="str">
        <f>IFERROR(VLOOKUP(CN36,'[1]M 기준정보'!$B$5:$C$49936,2,0),"")</f>
        <v/>
      </c>
      <c r="CO37" s="50" t="str">
        <f>IFERROR(VLOOKUP(CO36,'[1]M 기준정보'!$B$5:$C$49936,2,0),"")</f>
        <v/>
      </c>
      <c r="CP37" s="50" t="str">
        <f>IFERROR(VLOOKUP(CP36,'[1]M 기준정보'!$B$5:$C$49936,2,0),"")</f>
        <v/>
      </c>
      <c r="CQ37" s="50" t="str">
        <f>IFERROR(VLOOKUP(CQ36,'[1]M 기준정보'!$B$5:$C$49936,2,0),"")</f>
        <v/>
      </c>
      <c r="CR37" s="50" t="str">
        <f>IFERROR(VLOOKUP(CR36,'[1]M 기준정보'!$B$5:$C$49936,2,0),"")</f>
        <v/>
      </c>
      <c r="CS37" s="50" t="str">
        <f>IFERROR(VLOOKUP(CS36,'[1]M 기준정보'!$B$5:$C$49936,2,0),"")</f>
        <v/>
      </c>
      <c r="CT37" s="50" t="str">
        <f>IFERROR(VLOOKUP(CT36,'[1]M 기준정보'!$B$5:$C$49936,2,0),"")</f>
        <v/>
      </c>
      <c r="CU37" s="50" t="str">
        <f>IFERROR(VLOOKUP(CU36,'[1]M 기준정보'!$B$5:$C$49936,2,0),"")</f>
        <v/>
      </c>
      <c r="CV37" s="50" t="str">
        <f>IFERROR(VLOOKUP(CV36,'[1]M 기준정보'!$B$5:$C$49936,2,0),"")</f>
        <v/>
      </c>
      <c r="CW37" s="50" t="str">
        <f>IFERROR(VLOOKUP(CW36,'[1]M 기준정보'!$B$5:$C$49936,2,0),"")</f>
        <v/>
      </c>
      <c r="CX37" s="50" t="str">
        <f>IFERROR(VLOOKUP(CX36,'[1]M 기준정보'!$B$5:$C$49936,2,0),"")</f>
        <v/>
      </c>
      <c r="CY37" s="50" t="str">
        <f>IFERROR(VLOOKUP(CY36,'[1]M 기준정보'!$B$5:$C$49936,2,0),"")</f>
        <v/>
      </c>
      <c r="CZ37" s="50" t="str">
        <f>IFERROR(VLOOKUP(CZ36,'[1]M 기준정보'!$B$5:$C$49936,2,0),"")</f>
        <v/>
      </c>
      <c r="DA37" s="50" t="str">
        <f>IFERROR(VLOOKUP(DA36,'[1]M 기준정보'!$B$5:$C$49936,2,0),"")</f>
        <v/>
      </c>
      <c r="DB37" s="50" t="str">
        <f>IFERROR(VLOOKUP(DB36,'[1]M 기준정보'!$B$5:$C$49936,2,0),"")</f>
        <v/>
      </c>
      <c r="DC37" s="50" t="str">
        <f>IFERROR(VLOOKUP(DC36,'[1]M 기준정보'!$B$5:$C$49936,2,0),"")</f>
        <v/>
      </c>
      <c r="DD37" s="50" t="str">
        <f>IFERROR(VLOOKUP(DD36,'[1]M 기준정보'!$B$5:$C$49936,2,0),"")</f>
        <v/>
      </c>
      <c r="DE37" s="50" t="str">
        <f>IFERROR(VLOOKUP(DE36,'[1]M 기준정보'!$B$5:$C$49936,2,0),"")</f>
        <v/>
      </c>
      <c r="DF37" s="50" t="str">
        <f>IFERROR(VLOOKUP(DF36,'[1]M 기준정보'!$B$5:$C$49936,2,0),"")</f>
        <v/>
      </c>
      <c r="DG37" s="50" t="str">
        <f>IFERROR(VLOOKUP(DG36,'[1]M 기준정보'!$B$5:$C$49936,2,0),"")</f>
        <v/>
      </c>
      <c r="DH37" s="50" t="str">
        <f>IFERROR(VLOOKUP(DH36,'[1]M 기준정보'!$B$5:$C$49936,2,0),"")</f>
        <v/>
      </c>
      <c r="DI37" s="50" t="str">
        <f>IFERROR(VLOOKUP(DI36,'[1]M 기준정보'!$B$5:$C$49936,2,0),"")</f>
        <v/>
      </c>
      <c r="DJ37" s="50" t="str">
        <f>IFERROR(VLOOKUP(DJ36,'[1]M 기준정보'!$B$5:$C$49936,2,0),"")</f>
        <v/>
      </c>
      <c r="DK37" s="50" t="str">
        <f>IFERROR(VLOOKUP(DK36,'[1]M 기준정보'!$B$5:$C$49936,2,0),"")</f>
        <v/>
      </c>
      <c r="DL37" s="50" t="str">
        <f>IFERROR(VLOOKUP(DL36,'[1]M 기준정보'!$B$5:$C$49936,2,0),"")</f>
        <v/>
      </c>
      <c r="DM37" s="50" t="str">
        <f>IFERROR(VLOOKUP(DM36,'[1]M 기준정보'!$B$5:$C$49936,2,0),"")</f>
        <v/>
      </c>
      <c r="DN37" s="50" t="str">
        <f>IFERROR(VLOOKUP(DN36,'[1]M 기준정보'!$B$5:$C$49936,2,0),"")</f>
        <v/>
      </c>
      <c r="DO37" s="50" t="str">
        <f>IFERROR(VLOOKUP(DO36,'[1]M 기준정보'!$B$5:$C$49936,2,0),"")</f>
        <v/>
      </c>
      <c r="DP37" s="50" t="str">
        <f>IFERROR(VLOOKUP(DP36,'[1]M 기준정보'!$B$5:$C$49936,2,0),"")</f>
        <v/>
      </c>
      <c r="DQ37" s="50" t="str">
        <f>IFERROR(VLOOKUP(DQ36,'[1]M 기준정보'!$B$5:$C$49936,2,0),"")</f>
        <v/>
      </c>
      <c r="DR37" s="50" t="str">
        <f>IFERROR(VLOOKUP(DR36,'[1]M 기준정보'!$B$5:$C$49936,2,0),"")</f>
        <v/>
      </c>
      <c r="DS37" s="50" t="str">
        <f>IFERROR(VLOOKUP(DS36,'[1]M 기준정보'!$B$5:$C$49936,2,0),"")</f>
        <v/>
      </c>
      <c r="DT37" s="50" t="str">
        <f>IFERROR(VLOOKUP(DT36,'[1]M 기준정보'!$B$5:$C$49936,2,0),"")</f>
        <v/>
      </c>
      <c r="DU37" s="50" t="str">
        <f>IFERROR(VLOOKUP(DU36,'[1]M 기준정보'!$B$5:$C$49936,2,0),"")</f>
        <v/>
      </c>
      <c r="DV37" s="50" t="str">
        <f>IFERROR(VLOOKUP(DV36,'[1]M 기준정보'!$B$5:$C$49936,2,0),"")</f>
        <v/>
      </c>
      <c r="DW37" s="50" t="str">
        <f>IFERROR(VLOOKUP(DW36,'[1]M 기준정보'!$B$5:$C$49936,2,0),"")</f>
        <v/>
      </c>
      <c r="DX37" s="50" t="str">
        <f>IFERROR(VLOOKUP(DX36,'[1]M 기준정보'!$B$5:$C$49936,2,0),"")</f>
        <v/>
      </c>
      <c r="DY37" s="50" t="str">
        <f>IFERROR(VLOOKUP(DY36,'[1]M 기준정보'!$B$5:$C$49936,2,0),"")</f>
        <v/>
      </c>
      <c r="DZ37" s="50" t="str">
        <f>IFERROR(VLOOKUP(DZ36,'[1]M 기준정보'!$B$5:$C$49936,2,0),"")</f>
        <v/>
      </c>
      <c r="EA37" s="50" t="str">
        <f>IFERROR(VLOOKUP(EA36,'[1]M 기준정보'!$B$5:$C$49936,2,0),"")</f>
        <v/>
      </c>
      <c r="EB37" s="50" t="str">
        <f>IFERROR(VLOOKUP(EB36,'[1]M 기준정보'!$B$5:$C$49936,2,0),"")</f>
        <v/>
      </c>
      <c r="EC37" s="50" t="str">
        <f>IFERROR(VLOOKUP(EC36,'[1]M 기준정보'!$B$5:$C$49936,2,0),"")</f>
        <v/>
      </c>
      <c r="ED37" s="50" t="str">
        <f>IFERROR(VLOOKUP(ED36,'[1]M 기준정보'!$B$5:$C$49936,2,0),"")</f>
        <v/>
      </c>
      <c r="EE37" s="50" t="str">
        <f>IFERROR(VLOOKUP(EE36,'[1]M 기준정보'!$B$5:$C$49936,2,0),"")</f>
        <v/>
      </c>
      <c r="EF37" s="50" t="str">
        <f>IFERROR(VLOOKUP(EF36,'[1]M 기준정보'!$B$5:$C$49936,2,0),"")</f>
        <v/>
      </c>
    </row>
    <row r="38" spans="1:136" ht="22.5" customHeight="1" thickBot="1" x14ac:dyDescent="0.35">
      <c r="A38" s="49"/>
      <c r="B38" s="51" t="s">
        <v>67</v>
      </c>
      <c r="C38" s="55"/>
      <c r="D38" s="55"/>
      <c r="E38" s="52" t="s">
        <v>68</v>
      </c>
      <c r="F38" s="52" t="s">
        <v>100</v>
      </c>
      <c r="G38" s="55"/>
      <c r="H38" s="55"/>
      <c r="I38" s="55"/>
      <c r="J38" s="52" t="s">
        <v>101</v>
      </c>
      <c r="K38" s="52" t="s">
        <v>102</v>
      </c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2" t="s">
        <v>103</v>
      </c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</row>
    <row r="39" spans="1:136" ht="17.25" hidden="1" customHeight="1" thickBot="1" x14ac:dyDescent="0.35">
      <c r="A39" s="49"/>
      <c r="B39" s="53"/>
      <c r="C39" s="54" t="str">
        <f t="shared" ref="C39:BN39" si="6">RIGHT(C38,3)</f>
        <v/>
      </c>
      <c r="D39" s="54" t="str">
        <f t="shared" si="6"/>
        <v/>
      </c>
      <c r="E39" s="54" t="str">
        <f t="shared" si="6"/>
        <v xml:space="preserve"> 20</v>
      </c>
      <c r="F39" s="54" t="str">
        <f t="shared" si="6"/>
        <v>8 8</v>
      </c>
      <c r="G39" s="54" t="str">
        <f t="shared" si="6"/>
        <v/>
      </c>
      <c r="H39" s="54" t="str">
        <f t="shared" si="6"/>
        <v/>
      </c>
      <c r="I39" s="54" t="str">
        <f t="shared" si="6"/>
        <v/>
      </c>
      <c r="J39" s="54" t="str">
        <f t="shared" si="6"/>
        <v>03]</v>
      </c>
      <c r="K39" s="54" t="str">
        <f t="shared" si="6"/>
        <v xml:space="preserve"> 40</v>
      </c>
      <c r="L39" s="54" t="str">
        <f t="shared" si="6"/>
        <v/>
      </c>
      <c r="M39" s="54" t="str">
        <f t="shared" si="6"/>
        <v/>
      </c>
      <c r="N39" s="54" t="str">
        <f t="shared" si="6"/>
        <v/>
      </c>
      <c r="O39" s="54" t="str">
        <f t="shared" si="6"/>
        <v/>
      </c>
      <c r="P39" s="54" t="str">
        <f t="shared" si="6"/>
        <v/>
      </c>
      <c r="Q39" s="54" t="str">
        <f t="shared" si="6"/>
        <v/>
      </c>
      <c r="R39" s="54" t="str">
        <f t="shared" si="6"/>
        <v/>
      </c>
      <c r="S39" s="54" t="str">
        <f t="shared" si="6"/>
        <v/>
      </c>
      <c r="T39" s="54" t="str">
        <f t="shared" si="6"/>
        <v/>
      </c>
      <c r="U39" s="54" t="str">
        <f t="shared" si="6"/>
        <v/>
      </c>
      <c r="V39" s="54" t="str">
        <f t="shared" si="6"/>
        <v/>
      </c>
      <c r="W39" s="54" t="str">
        <f t="shared" si="6"/>
        <v/>
      </c>
      <c r="X39" s="54" t="str">
        <f t="shared" si="6"/>
        <v/>
      </c>
      <c r="Y39" s="54" t="str">
        <f t="shared" si="6"/>
        <v/>
      </c>
      <c r="Z39" s="54" t="str">
        <f t="shared" si="6"/>
        <v>4 6</v>
      </c>
      <c r="AA39" s="54" t="str">
        <f t="shared" si="6"/>
        <v/>
      </c>
      <c r="AB39" s="54" t="str">
        <f t="shared" si="6"/>
        <v/>
      </c>
      <c r="AC39" s="54" t="str">
        <f t="shared" si="6"/>
        <v/>
      </c>
      <c r="AD39" s="54" t="str">
        <f t="shared" si="6"/>
        <v/>
      </c>
      <c r="AE39" s="54" t="str">
        <f t="shared" si="6"/>
        <v/>
      </c>
      <c r="AF39" s="54" t="str">
        <f t="shared" si="6"/>
        <v/>
      </c>
      <c r="AG39" s="54" t="str">
        <f t="shared" si="6"/>
        <v/>
      </c>
      <c r="AH39" s="54" t="str">
        <f t="shared" si="6"/>
        <v/>
      </c>
      <c r="AI39" s="54" t="str">
        <f t="shared" si="6"/>
        <v/>
      </c>
      <c r="AJ39" s="54" t="str">
        <f t="shared" si="6"/>
        <v/>
      </c>
      <c r="AK39" s="54" t="str">
        <f t="shared" si="6"/>
        <v/>
      </c>
      <c r="AL39" s="54" t="str">
        <f t="shared" si="6"/>
        <v/>
      </c>
      <c r="AM39" s="54" t="str">
        <f t="shared" si="6"/>
        <v/>
      </c>
      <c r="AN39" s="54" t="str">
        <f t="shared" si="6"/>
        <v/>
      </c>
      <c r="AO39" s="54" t="str">
        <f t="shared" si="6"/>
        <v/>
      </c>
      <c r="AP39" s="54" t="str">
        <f t="shared" si="6"/>
        <v/>
      </c>
      <c r="AQ39" s="54" t="str">
        <f t="shared" si="6"/>
        <v/>
      </c>
      <c r="AR39" s="54" t="str">
        <f t="shared" si="6"/>
        <v/>
      </c>
      <c r="AS39" s="54" t="str">
        <f t="shared" si="6"/>
        <v/>
      </c>
      <c r="AT39" s="54" t="str">
        <f t="shared" si="6"/>
        <v/>
      </c>
      <c r="AU39" s="54" t="str">
        <f t="shared" si="6"/>
        <v/>
      </c>
      <c r="AV39" s="54" t="str">
        <f t="shared" si="6"/>
        <v/>
      </c>
      <c r="AW39" s="54" t="str">
        <f t="shared" si="6"/>
        <v/>
      </c>
      <c r="AX39" s="54" t="str">
        <f t="shared" si="6"/>
        <v/>
      </c>
      <c r="AY39" s="54" t="str">
        <f t="shared" si="6"/>
        <v/>
      </c>
      <c r="AZ39" s="54" t="str">
        <f t="shared" si="6"/>
        <v/>
      </c>
      <c r="BA39" s="54" t="str">
        <f t="shared" si="6"/>
        <v/>
      </c>
      <c r="BB39" s="54" t="str">
        <f t="shared" si="6"/>
        <v/>
      </c>
      <c r="BC39" s="54" t="str">
        <f t="shared" si="6"/>
        <v/>
      </c>
      <c r="BD39" s="54" t="str">
        <f t="shared" si="6"/>
        <v/>
      </c>
      <c r="BE39" s="54" t="str">
        <f t="shared" si="6"/>
        <v/>
      </c>
      <c r="BF39" s="54" t="str">
        <f t="shared" si="6"/>
        <v/>
      </c>
      <c r="BG39" s="54" t="str">
        <f t="shared" si="6"/>
        <v/>
      </c>
      <c r="BH39" s="54" t="str">
        <f t="shared" si="6"/>
        <v/>
      </c>
      <c r="BI39" s="54" t="str">
        <f t="shared" si="6"/>
        <v/>
      </c>
      <c r="BJ39" s="54" t="str">
        <f t="shared" si="6"/>
        <v/>
      </c>
      <c r="BK39" s="54" t="str">
        <f t="shared" si="6"/>
        <v/>
      </c>
      <c r="BL39" s="54" t="str">
        <f t="shared" si="6"/>
        <v/>
      </c>
      <c r="BM39" s="54" t="str">
        <f t="shared" si="6"/>
        <v/>
      </c>
      <c r="BN39" s="54" t="str">
        <f t="shared" si="6"/>
        <v/>
      </c>
      <c r="BO39" s="54" t="str">
        <f t="shared" ref="BO39:DZ39" si="7">RIGHT(BO38,3)</f>
        <v/>
      </c>
      <c r="BP39" s="54" t="str">
        <f t="shared" si="7"/>
        <v/>
      </c>
      <c r="BQ39" s="54" t="str">
        <f t="shared" si="7"/>
        <v/>
      </c>
      <c r="BR39" s="54" t="str">
        <f t="shared" si="7"/>
        <v/>
      </c>
      <c r="BS39" s="54" t="str">
        <f t="shared" si="7"/>
        <v/>
      </c>
      <c r="BT39" s="54" t="str">
        <f t="shared" si="7"/>
        <v/>
      </c>
      <c r="BU39" s="54" t="str">
        <f t="shared" si="7"/>
        <v/>
      </c>
      <c r="BV39" s="54" t="str">
        <f t="shared" si="7"/>
        <v/>
      </c>
      <c r="BW39" s="54" t="str">
        <f t="shared" si="7"/>
        <v/>
      </c>
      <c r="BX39" s="54" t="str">
        <f t="shared" si="7"/>
        <v/>
      </c>
      <c r="BY39" s="54" t="str">
        <f t="shared" si="7"/>
        <v/>
      </c>
      <c r="BZ39" s="54" t="str">
        <f t="shared" si="7"/>
        <v/>
      </c>
      <c r="CA39" s="54" t="str">
        <f t="shared" si="7"/>
        <v/>
      </c>
      <c r="CB39" s="54" t="str">
        <f t="shared" si="7"/>
        <v/>
      </c>
      <c r="CC39" s="54" t="str">
        <f t="shared" si="7"/>
        <v/>
      </c>
      <c r="CD39" s="54" t="str">
        <f t="shared" si="7"/>
        <v/>
      </c>
      <c r="CE39" s="54" t="str">
        <f t="shared" si="7"/>
        <v/>
      </c>
      <c r="CF39" s="54" t="str">
        <f t="shared" si="7"/>
        <v/>
      </c>
      <c r="CG39" s="54" t="str">
        <f t="shared" si="7"/>
        <v/>
      </c>
      <c r="CH39" s="54" t="str">
        <f t="shared" si="7"/>
        <v/>
      </c>
      <c r="CI39" s="54" t="str">
        <f t="shared" si="7"/>
        <v/>
      </c>
      <c r="CJ39" s="54" t="str">
        <f t="shared" si="7"/>
        <v/>
      </c>
      <c r="CK39" s="54" t="str">
        <f t="shared" si="7"/>
        <v/>
      </c>
      <c r="CL39" s="54" t="str">
        <f t="shared" si="7"/>
        <v/>
      </c>
      <c r="CM39" s="54" t="str">
        <f t="shared" si="7"/>
        <v/>
      </c>
      <c r="CN39" s="54" t="str">
        <f t="shared" si="7"/>
        <v/>
      </c>
      <c r="CO39" s="54" t="str">
        <f t="shared" si="7"/>
        <v/>
      </c>
      <c r="CP39" s="54" t="str">
        <f t="shared" si="7"/>
        <v/>
      </c>
      <c r="CQ39" s="54" t="str">
        <f t="shared" si="7"/>
        <v/>
      </c>
      <c r="CR39" s="54" t="str">
        <f t="shared" si="7"/>
        <v/>
      </c>
      <c r="CS39" s="54" t="str">
        <f t="shared" si="7"/>
        <v/>
      </c>
      <c r="CT39" s="54" t="str">
        <f t="shared" si="7"/>
        <v/>
      </c>
      <c r="CU39" s="54" t="str">
        <f t="shared" si="7"/>
        <v/>
      </c>
      <c r="CV39" s="54" t="str">
        <f t="shared" si="7"/>
        <v/>
      </c>
      <c r="CW39" s="54" t="str">
        <f t="shared" si="7"/>
        <v/>
      </c>
      <c r="CX39" s="54" t="str">
        <f t="shared" si="7"/>
        <v/>
      </c>
      <c r="CY39" s="54" t="str">
        <f t="shared" si="7"/>
        <v/>
      </c>
      <c r="CZ39" s="54" t="str">
        <f t="shared" si="7"/>
        <v/>
      </c>
      <c r="DA39" s="54" t="str">
        <f t="shared" si="7"/>
        <v/>
      </c>
      <c r="DB39" s="54" t="str">
        <f t="shared" si="7"/>
        <v/>
      </c>
      <c r="DC39" s="54" t="str">
        <f t="shared" si="7"/>
        <v/>
      </c>
      <c r="DD39" s="54" t="str">
        <f t="shared" si="7"/>
        <v/>
      </c>
      <c r="DE39" s="54" t="str">
        <f t="shared" si="7"/>
        <v/>
      </c>
      <c r="DF39" s="54" t="str">
        <f t="shared" si="7"/>
        <v/>
      </c>
      <c r="DG39" s="54" t="str">
        <f t="shared" si="7"/>
        <v/>
      </c>
      <c r="DH39" s="54" t="str">
        <f t="shared" si="7"/>
        <v/>
      </c>
      <c r="DI39" s="54" t="str">
        <f t="shared" si="7"/>
        <v/>
      </c>
      <c r="DJ39" s="54" t="str">
        <f t="shared" si="7"/>
        <v/>
      </c>
      <c r="DK39" s="54" t="str">
        <f t="shared" si="7"/>
        <v/>
      </c>
      <c r="DL39" s="54" t="str">
        <f t="shared" si="7"/>
        <v/>
      </c>
      <c r="DM39" s="54" t="str">
        <f t="shared" si="7"/>
        <v/>
      </c>
      <c r="DN39" s="54" t="str">
        <f t="shared" si="7"/>
        <v/>
      </c>
      <c r="DO39" s="54" t="str">
        <f t="shared" si="7"/>
        <v/>
      </c>
      <c r="DP39" s="54" t="str">
        <f t="shared" si="7"/>
        <v/>
      </c>
      <c r="DQ39" s="54" t="str">
        <f t="shared" si="7"/>
        <v/>
      </c>
      <c r="DR39" s="54" t="str">
        <f t="shared" si="7"/>
        <v/>
      </c>
      <c r="DS39" s="54" t="str">
        <f t="shared" si="7"/>
        <v/>
      </c>
      <c r="DT39" s="54" t="str">
        <f t="shared" si="7"/>
        <v/>
      </c>
      <c r="DU39" s="54" t="str">
        <f t="shared" si="7"/>
        <v/>
      </c>
      <c r="DV39" s="54" t="str">
        <f t="shared" si="7"/>
        <v/>
      </c>
      <c r="DW39" s="54" t="str">
        <f t="shared" si="7"/>
        <v/>
      </c>
      <c r="DX39" s="54" t="str">
        <f t="shared" si="7"/>
        <v/>
      </c>
      <c r="DY39" s="54" t="str">
        <f t="shared" si="7"/>
        <v/>
      </c>
      <c r="DZ39" s="54" t="str">
        <f t="shared" si="7"/>
        <v/>
      </c>
      <c r="EA39" s="54" t="str">
        <f t="shared" ref="EA39:EN39" si="8">RIGHT(EA38,3)</f>
        <v/>
      </c>
      <c r="EB39" s="54" t="str">
        <f t="shared" si="8"/>
        <v/>
      </c>
      <c r="EC39" s="54" t="str">
        <f t="shared" si="8"/>
        <v/>
      </c>
      <c r="ED39" s="54" t="str">
        <f t="shared" si="8"/>
        <v/>
      </c>
      <c r="EE39" s="54" t="str">
        <f t="shared" si="8"/>
        <v/>
      </c>
      <c r="EF39" s="54" t="str">
        <f t="shared" si="8"/>
        <v/>
      </c>
    </row>
    <row r="40" spans="1:136" ht="17.25" hidden="1" customHeight="1" thickBot="1" x14ac:dyDescent="0.35">
      <c r="A40" s="49"/>
      <c r="B40" s="30" t="s">
        <v>33</v>
      </c>
      <c r="C40" s="43" t="str">
        <f>IFERROR(VLOOKUP(C36,'[1]M 기준정보'!$B$5:$H$49936,6,0)*C39,"")</f>
        <v/>
      </c>
      <c r="D40" s="43" t="str">
        <f>IFERROR(VLOOKUP(D36,'[1]M 기준정보'!$B$5:$H$49936,6,0)*D39,"")</f>
        <v/>
      </c>
      <c r="E40" s="43">
        <f>IFERROR(VLOOKUP(E36,'[1]M 기준정보'!$B$5:$H$49936,6,0)*E39,"")</f>
        <v>1.6</v>
      </c>
      <c r="F40" s="43" t="str">
        <f>IFERROR(VLOOKUP(F36,'[1]M 기준정보'!$B$5:$H$49936,6,0)*F39,"")</f>
        <v/>
      </c>
      <c r="G40" s="43" t="str">
        <f>IFERROR(VLOOKUP(G36,'[1]M 기준정보'!$B$5:$H$49936,6,0)*G39,"")</f>
        <v/>
      </c>
      <c r="H40" s="43" t="str">
        <f>IFERROR(VLOOKUP(H36,'[1]M 기준정보'!$B$5:$H$49936,6,0)*H39,"")</f>
        <v/>
      </c>
      <c r="I40" s="43" t="str">
        <f>IFERROR(VLOOKUP(I36,'[1]M 기준정보'!$B$5:$H$49936,6,0)*I39,"")</f>
        <v/>
      </c>
      <c r="J40" s="43" t="str">
        <f>IFERROR(VLOOKUP(J36,'[1]M 기준정보'!$B$5:$H$49936,6,0)*J39,"")</f>
        <v/>
      </c>
      <c r="K40" s="43">
        <f>IFERROR(VLOOKUP(K36,'[1]M 기준정보'!$B$5:$H$49936,6,0)*K39,"")</f>
        <v>4</v>
      </c>
      <c r="L40" s="43" t="str">
        <f>IFERROR(VLOOKUP(L36,'[1]M 기준정보'!$B$5:$H$49936,6,0)*L39,"")</f>
        <v/>
      </c>
      <c r="M40" s="43" t="str">
        <f>IFERROR(VLOOKUP(M36,'[1]M 기준정보'!$B$5:$H$49936,6,0)*M39,"")</f>
        <v/>
      </c>
      <c r="N40" s="43" t="str">
        <f>IFERROR(VLOOKUP(N36,'[1]M 기준정보'!$B$5:$H$49936,6,0)*N39,"")</f>
        <v/>
      </c>
      <c r="O40" s="43" t="str">
        <f>IFERROR(VLOOKUP(O36,'[1]M 기준정보'!$B$5:$H$49936,6,0)*O39,"")</f>
        <v/>
      </c>
      <c r="P40" s="43" t="str">
        <f>IFERROR(VLOOKUP(P36,'[1]M 기준정보'!$B$5:$H$49936,6,0)*P39,"")</f>
        <v/>
      </c>
      <c r="Q40" s="43" t="str">
        <f>IFERROR(VLOOKUP(Q36,'[1]M 기준정보'!$B$5:$H$49936,6,0)*Q39,"")</f>
        <v/>
      </c>
      <c r="R40" s="43" t="str">
        <f>IFERROR(VLOOKUP(R36,'[1]M 기준정보'!$B$5:$H$49936,6,0)*R39,"")</f>
        <v/>
      </c>
      <c r="S40" s="43" t="str">
        <f>IFERROR(VLOOKUP(S36,'[1]M 기준정보'!$B$5:$H$49936,6,0)*S39,"")</f>
        <v/>
      </c>
      <c r="T40" s="43" t="str">
        <f>IFERROR(VLOOKUP(T36,'[1]M 기준정보'!$B$5:$H$49936,6,0)*T39,"")</f>
        <v/>
      </c>
      <c r="U40" s="43" t="str">
        <f>IFERROR(VLOOKUP(U36,'[1]M 기준정보'!$B$5:$H$49936,6,0)*U39,"")</f>
        <v/>
      </c>
      <c r="V40" s="43" t="str">
        <f>IFERROR(VLOOKUP(V36,'[1]M 기준정보'!$B$5:$H$49936,6,0)*V39,"")</f>
        <v/>
      </c>
      <c r="W40" s="43" t="str">
        <f>IFERROR(VLOOKUP(W36,'[1]M 기준정보'!$B$5:$H$49936,6,0)*W39,"")</f>
        <v/>
      </c>
      <c r="X40" s="43" t="str">
        <f>IFERROR(VLOOKUP(X36,'[1]M 기준정보'!$B$5:$H$49936,6,0)*X39,"")</f>
        <v/>
      </c>
      <c r="Y40" s="43" t="str">
        <f>IFERROR(VLOOKUP(Y36,'[1]M 기준정보'!$B$5:$H$49936,6,0)*Y39,"")</f>
        <v/>
      </c>
      <c r="Z40" s="43" t="str">
        <f>IFERROR(VLOOKUP(Z36,'[1]M 기준정보'!$B$5:$H$49936,6,0)*Z39,"")</f>
        <v/>
      </c>
      <c r="AA40" s="43" t="str">
        <f>IFERROR(VLOOKUP(AA36,'[1]M 기준정보'!$B$5:$H$49936,6,0)*AA39,"")</f>
        <v/>
      </c>
      <c r="AB40" s="43" t="str">
        <f>IFERROR(VLOOKUP(AB36,'[1]M 기준정보'!$B$5:$H$49936,6,0)*AB39,"")</f>
        <v/>
      </c>
      <c r="AC40" s="43" t="str">
        <f>IFERROR(VLOOKUP(AC36,'[1]M 기준정보'!$B$5:$H$49936,6,0)*AC39,"")</f>
        <v/>
      </c>
      <c r="AD40" s="43" t="str">
        <f>IFERROR(VLOOKUP(AD36,'[1]M 기준정보'!$B$5:$H$49936,6,0)*AD39,"")</f>
        <v/>
      </c>
      <c r="AE40" s="43" t="str">
        <f>IFERROR(VLOOKUP(AE36,'[1]M 기준정보'!$B$5:$H$49936,6,0)*AE39,"")</f>
        <v/>
      </c>
      <c r="AF40" s="43" t="str">
        <f>IFERROR(VLOOKUP(AF36,'[1]M 기준정보'!$B$5:$H$49936,6,0)*AF39,"")</f>
        <v/>
      </c>
      <c r="AG40" s="43" t="str">
        <f>IFERROR(VLOOKUP(AG36,'[1]M 기준정보'!$B$5:$H$49936,6,0)*AG39,"")</f>
        <v/>
      </c>
      <c r="AH40" s="43" t="str">
        <f>IFERROR(VLOOKUP(AH36,'[1]M 기준정보'!$B$5:$H$49936,6,0)*AH39,"")</f>
        <v/>
      </c>
      <c r="AI40" s="43" t="str">
        <f>IFERROR(VLOOKUP(AI36,'[1]M 기준정보'!$B$5:$H$49936,6,0)*AI39,"")</f>
        <v/>
      </c>
      <c r="AJ40" s="43" t="str">
        <f>IFERROR(VLOOKUP(AJ36,'[1]M 기준정보'!$B$5:$H$49936,6,0)*AJ39,"")</f>
        <v/>
      </c>
      <c r="AK40" s="43" t="str">
        <f>IFERROR(VLOOKUP(AK36,'[1]M 기준정보'!$B$5:$H$49936,6,0)*AK39,"")</f>
        <v/>
      </c>
      <c r="AL40" s="43" t="str">
        <f>IFERROR(VLOOKUP(AL36,'[1]M 기준정보'!$B$5:$H$49936,6,0)*AL39,"")</f>
        <v/>
      </c>
      <c r="AM40" s="43" t="str">
        <f>IFERROR(VLOOKUP(AM36,'[1]M 기준정보'!$B$5:$H$49936,6,0)*AM39,"")</f>
        <v/>
      </c>
      <c r="AN40" s="43" t="str">
        <f>IFERROR(VLOOKUP(AN36,'[1]M 기준정보'!$B$5:$H$49936,6,0)*AN39,"")</f>
        <v/>
      </c>
      <c r="AO40" s="43" t="str">
        <f>IFERROR(VLOOKUP(AO36,'[1]M 기준정보'!$B$5:$H$49936,6,0)*AO39,"")</f>
        <v/>
      </c>
      <c r="AP40" s="43" t="str">
        <f>IFERROR(VLOOKUP(AP36,'[1]M 기준정보'!$B$5:$H$49936,6,0)*AP39,"")</f>
        <v/>
      </c>
      <c r="AQ40" s="43" t="str">
        <f>IFERROR(VLOOKUP(AQ36,'[1]M 기준정보'!$B$5:$H$49936,6,0)*AQ39,"")</f>
        <v/>
      </c>
      <c r="AR40" s="43" t="str">
        <f>IFERROR(VLOOKUP(AR36,'[1]M 기준정보'!$B$5:$H$49936,6,0)*AR39,"")</f>
        <v/>
      </c>
      <c r="AS40" s="43" t="str">
        <f>IFERROR(VLOOKUP(AS36,'[1]M 기준정보'!$B$5:$H$49936,6,0)*AS39,"")</f>
        <v/>
      </c>
      <c r="AT40" s="43" t="str">
        <f>IFERROR(VLOOKUP(AT36,'[1]M 기준정보'!$B$5:$H$49936,6,0)*AT39,"")</f>
        <v/>
      </c>
      <c r="AU40" s="43" t="str">
        <f>IFERROR(VLOOKUP(AU36,'[1]M 기준정보'!$B$5:$H$49936,6,0)*AU39,"")</f>
        <v/>
      </c>
      <c r="AV40" s="43" t="str">
        <f>IFERROR(VLOOKUP(AV36,'[1]M 기준정보'!$B$5:$H$49936,6,0)*AV39,"")</f>
        <v/>
      </c>
      <c r="AW40" s="43" t="str">
        <f>IFERROR(VLOOKUP(AW36,'[1]M 기준정보'!$B$5:$H$49936,6,0)*AW39,"")</f>
        <v/>
      </c>
      <c r="AX40" s="43" t="str">
        <f>IFERROR(VLOOKUP(AX36,'[1]M 기준정보'!$B$5:$H$49936,6,0)*AX39,"")</f>
        <v/>
      </c>
      <c r="AY40" s="43" t="str">
        <f>IFERROR(VLOOKUP(AY36,'[1]M 기준정보'!$B$5:$H$49936,6,0)*AY39,"")</f>
        <v/>
      </c>
      <c r="AZ40" s="43" t="str">
        <f>IFERROR(VLOOKUP(AZ36,'[1]M 기준정보'!$B$5:$H$49936,6,0)*AZ39,"")</f>
        <v/>
      </c>
      <c r="BA40" s="43" t="str">
        <f>IFERROR(VLOOKUP(BA36,'[1]M 기준정보'!$B$5:$H$49936,6,0)*BA39,"")</f>
        <v/>
      </c>
      <c r="BB40" s="43" t="str">
        <f>IFERROR(VLOOKUP(BB36,'[1]M 기준정보'!$B$5:$H$49936,6,0)*BB39,"")</f>
        <v/>
      </c>
      <c r="BC40" s="43" t="str">
        <f>IFERROR(VLOOKUP(BC36,'[1]M 기준정보'!$B$5:$H$49936,6,0)*BC39,"")</f>
        <v/>
      </c>
      <c r="BD40" s="43" t="str">
        <f>IFERROR(VLOOKUP(BD36,'[1]M 기준정보'!$B$5:$H$49936,6,0)*BD39,"")</f>
        <v/>
      </c>
      <c r="BE40" s="43" t="str">
        <f>IFERROR(VLOOKUP(BE36,'[1]M 기준정보'!$B$5:$H$49936,6,0)*BE39,"")</f>
        <v/>
      </c>
      <c r="BF40" s="43" t="str">
        <f>IFERROR(VLOOKUP(BF36,'[1]M 기준정보'!$B$5:$H$49936,6,0)*BF39,"")</f>
        <v/>
      </c>
      <c r="BG40" s="43" t="str">
        <f>IFERROR(VLOOKUP(BG36,'[1]M 기준정보'!$B$5:$H$49936,6,0)*BG39,"")</f>
        <v/>
      </c>
      <c r="BH40" s="43" t="str">
        <f>IFERROR(VLOOKUP(BH36,'[1]M 기준정보'!$B$5:$H$49936,6,0)*BH39,"")</f>
        <v/>
      </c>
      <c r="BI40" s="43" t="str">
        <f>IFERROR(VLOOKUP(BI36,'[1]M 기준정보'!$B$5:$H$49936,6,0)*BI39,"")</f>
        <v/>
      </c>
      <c r="BJ40" s="43" t="str">
        <f>IFERROR(VLOOKUP(BJ36,'[1]M 기준정보'!$B$5:$H$49936,6,0)*BJ39,"")</f>
        <v/>
      </c>
      <c r="BK40" s="43" t="str">
        <f>IFERROR(VLOOKUP(BK36,'[1]M 기준정보'!$B$5:$H$49936,6,0)*BK39,"")</f>
        <v/>
      </c>
      <c r="BL40" s="43" t="str">
        <f>IFERROR(VLOOKUP(BL36,'[1]M 기준정보'!$B$5:$H$49936,6,0)*BL39,"")</f>
        <v/>
      </c>
      <c r="BM40" s="43" t="str">
        <f>IFERROR(VLOOKUP(BM36,'[1]M 기준정보'!$B$5:$H$49936,6,0)*BM39,"")</f>
        <v/>
      </c>
      <c r="BN40" s="43" t="str">
        <f>IFERROR(VLOOKUP(BN36,'[1]M 기준정보'!$B$5:$H$49936,6,0)*BN39,"")</f>
        <v/>
      </c>
      <c r="BO40" s="43" t="str">
        <f>IFERROR(VLOOKUP(BO36,'[1]M 기준정보'!$B$5:$H$49936,6,0)*BO39,"")</f>
        <v/>
      </c>
      <c r="BP40" s="43" t="str">
        <f>IFERROR(VLOOKUP(BP36,'[1]M 기준정보'!$B$5:$H$49936,6,0)*BP39,"")</f>
        <v/>
      </c>
      <c r="BQ40" s="43" t="str">
        <f>IFERROR(VLOOKUP(BQ36,'[1]M 기준정보'!$B$5:$H$49936,6,0)*BQ39,"")</f>
        <v/>
      </c>
      <c r="BR40" s="43" t="str">
        <f>IFERROR(VLOOKUP(BR36,'[1]M 기준정보'!$B$5:$H$49936,6,0)*BR39,"")</f>
        <v/>
      </c>
      <c r="BS40" s="43" t="str">
        <f>IFERROR(VLOOKUP(BS36,'[1]M 기준정보'!$B$5:$H$49936,6,0)*BS39,"")</f>
        <v/>
      </c>
      <c r="BT40" s="43" t="str">
        <f>IFERROR(VLOOKUP(BT36,'[1]M 기준정보'!$B$5:$H$49936,6,0)*BT39,"")</f>
        <v/>
      </c>
      <c r="BU40" s="43" t="str">
        <f>IFERROR(VLOOKUP(BU36,'[1]M 기준정보'!$B$5:$H$49936,6,0)*BU39,"")</f>
        <v/>
      </c>
      <c r="BV40" s="43" t="str">
        <f>IFERROR(VLOOKUP(BV36,'[1]M 기준정보'!$B$5:$H$49936,6,0)*BV39,"")</f>
        <v/>
      </c>
      <c r="BW40" s="43" t="str">
        <f>IFERROR(VLOOKUP(BW36,'[1]M 기준정보'!$B$5:$H$49936,6,0)*BW39,"")</f>
        <v/>
      </c>
      <c r="BX40" s="43" t="str">
        <f>IFERROR(VLOOKUP(BX36,'[1]M 기준정보'!$B$5:$H$49936,6,0)*BX39,"")</f>
        <v/>
      </c>
      <c r="BY40" s="43" t="str">
        <f>IFERROR(VLOOKUP(BY36,'[1]M 기준정보'!$B$5:$H$49936,6,0)*BY39,"")</f>
        <v/>
      </c>
      <c r="BZ40" s="43" t="str">
        <f>IFERROR(VLOOKUP(BZ36,'[1]M 기준정보'!$B$5:$H$49936,6,0)*BZ39,"")</f>
        <v/>
      </c>
      <c r="CA40" s="43" t="str">
        <f>IFERROR(VLOOKUP(CA36,'[1]M 기준정보'!$B$5:$H$49936,6,0)*CA39,"")</f>
        <v/>
      </c>
      <c r="CB40" s="43" t="str">
        <f>IFERROR(VLOOKUP(CB36,'[1]M 기준정보'!$B$5:$H$49936,6,0)*CB39,"")</f>
        <v/>
      </c>
      <c r="CC40" s="43" t="str">
        <f>IFERROR(VLOOKUP(CC36,'[1]M 기준정보'!$B$5:$H$49936,6,0)*CC39,"")</f>
        <v/>
      </c>
      <c r="CD40" s="43" t="str">
        <f>IFERROR(VLOOKUP(CD36,'[1]M 기준정보'!$B$5:$H$49936,6,0)*CD39,"")</f>
        <v/>
      </c>
      <c r="CE40" s="43" t="str">
        <f>IFERROR(VLOOKUP(CE36,'[1]M 기준정보'!$B$5:$H$49936,6,0)*CE39,"")</f>
        <v/>
      </c>
      <c r="CF40" s="43" t="str">
        <f>IFERROR(VLOOKUP(CF36,'[1]M 기준정보'!$B$5:$H$49936,6,0)*CF39,"")</f>
        <v/>
      </c>
      <c r="CG40" s="43" t="str">
        <f>IFERROR(VLOOKUP(CG36,'[1]M 기준정보'!$B$5:$H$49936,6,0)*CG39,"")</f>
        <v/>
      </c>
      <c r="CH40" s="43" t="str">
        <f>IFERROR(VLOOKUP(CH36,'[1]M 기준정보'!$B$5:$H$49936,6,0)*CH39,"")</f>
        <v/>
      </c>
      <c r="CI40" s="43" t="str">
        <f>IFERROR(VLOOKUP(CI36,'[1]M 기준정보'!$B$5:$H$49936,6,0)*CI39,"")</f>
        <v/>
      </c>
      <c r="CJ40" s="43" t="str">
        <f>IFERROR(VLOOKUP(CJ36,'[1]M 기준정보'!$B$5:$H$49936,6,0)*CJ39,"")</f>
        <v/>
      </c>
      <c r="CK40" s="43" t="str">
        <f>IFERROR(VLOOKUP(CK36,'[1]M 기준정보'!$B$5:$H$49936,6,0)*CK39,"")</f>
        <v/>
      </c>
      <c r="CL40" s="43" t="str">
        <f>IFERROR(VLOOKUP(CL36,'[1]M 기준정보'!$B$5:$H$49936,6,0)*CL39,"")</f>
        <v/>
      </c>
      <c r="CM40" s="43" t="str">
        <f>IFERROR(VLOOKUP(CM36,'[1]M 기준정보'!$B$5:$H$49936,6,0)*CM39,"")</f>
        <v/>
      </c>
      <c r="CN40" s="43" t="str">
        <f>IFERROR(VLOOKUP(CN36,'[1]M 기준정보'!$B$5:$H$49936,6,0)*CN39,"")</f>
        <v/>
      </c>
      <c r="CO40" s="43" t="str">
        <f>IFERROR(VLOOKUP(CO36,'[1]M 기준정보'!$B$5:$H$49936,6,0)*CO39,"")</f>
        <v/>
      </c>
      <c r="CP40" s="43" t="str">
        <f>IFERROR(VLOOKUP(CP36,'[1]M 기준정보'!$B$5:$H$49936,6,0)*CP39,"")</f>
        <v/>
      </c>
      <c r="CQ40" s="43" t="str">
        <f>IFERROR(VLOOKUP(CQ36,'[1]M 기준정보'!$B$5:$H$49936,6,0)*CQ39,"")</f>
        <v/>
      </c>
      <c r="CR40" s="43" t="str">
        <f>IFERROR(VLOOKUP(CR36,'[1]M 기준정보'!$B$5:$H$49936,6,0)*CR39,"")</f>
        <v/>
      </c>
      <c r="CS40" s="43" t="str">
        <f>IFERROR(VLOOKUP(CS36,'[1]M 기준정보'!$B$5:$H$49936,6,0)*CS39,"")</f>
        <v/>
      </c>
      <c r="CT40" s="43" t="str">
        <f>IFERROR(VLOOKUP(CT36,'[1]M 기준정보'!$B$5:$H$49936,6,0)*CT39,"")</f>
        <v/>
      </c>
      <c r="CU40" s="43" t="str">
        <f>IFERROR(VLOOKUP(CU36,'[1]M 기준정보'!$B$5:$H$49936,6,0)*CU39,"")</f>
        <v/>
      </c>
      <c r="CV40" s="43" t="str">
        <f>IFERROR(VLOOKUP(CV36,'[1]M 기준정보'!$B$5:$H$49936,6,0)*CV39,"")</f>
        <v/>
      </c>
      <c r="CW40" s="43" t="str">
        <f>IFERROR(VLOOKUP(CW36,'[1]M 기준정보'!$B$5:$H$49936,6,0)*CW39,"")</f>
        <v/>
      </c>
      <c r="CX40" s="43" t="str">
        <f>IFERROR(VLOOKUP(CX36,'[1]M 기준정보'!$B$5:$H$49936,6,0)*CX39,"")</f>
        <v/>
      </c>
      <c r="CY40" s="43" t="str">
        <f>IFERROR(VLOOKUP(CY36,'[1]M 기준정보'!$B$5:$H$49936,6,0)*CY39,"")</f>
        <v/>
      </c>
      <c r="CZ40" s="43" t="str">
        <f>IFERROR(VLOOKUP(CZ36,'[1]M 기준정보'!$B$5:$H$49936,6,0)*CZ39,"")</f>
        <v/>
      </c>
      <c r="DA40" s="43" t="str">
        <f>IFERROR(VLOOKUP(DA36,'[1]M 기준정보'!$B$5:$H$49936,6,0)*DA39,"")</f>
        <v/>
      </c>
      <c r="DB40" s="43" t="str">
        <f>IFERROR(VLOOKUP(DB36,'[1]M 기준정보'!$B$5:$H$49936,6,0)*DB39,"")</f>
        <v/>
      </c>
      <c r="DC40" s="43" t="str">
        <f>IFERROR(VLOOKUP(DC36,'[1]M 기준정보'!$B$5:$H$49936,6,0)*DC39,"")</f>
        <v/>
      </c>
      <c r="DD40" s="43" t="str">
        <f>IFERROR(VLOOKUP(DD36,'[1]M 기준정보'!$B$5:$H$49936,6,0)*DD39,"")</f>
        <v/>
      </c>
      <c r="DE40" s="43" t="str">
        <f>IFERROR(VLOOKUP(DE36,'[1]M 기준정보'!$B$5:$H$49936,6,0)*DE39,"")</f>
        <v/>
      </c>
      <c r="DF40" s="43" t="str">
        <f>IFERROR(VLOOKUP(DF36,'[1]M 기준정보'!$B$5:$H$49936,6,0)*DF39,"")</f>
        <v/>
      </c>
      <c r="DG40" s="43" t="str">
        <f>IFERROR(VLOOKUP(DG36,'[1]M 기준정보'!$B$5:$H$49936,6,0)*DG39,"")</f>
        <v/>
      </c>
      <c r="DH40" s="43" t="str">
        <f>IFERROR(VLOOKUP(DH36,'[1]M 기준정보'!$B$5:$H$49936,6,0)*DH39,"")</f>
        <v/>
      </c>
      <c r="DI40" s="43" t="str">
        <f>IFERROR(VLOOKUP(DI36,'[1]M 기준정보'!$B$5:$H$49936,6,0)*DI39,"")</f>
        <v/>
      </c>
      <c r="DJ40" s="43" t="str">
        <f>IFERROR(VLOOKUP(DJ36,'[1]M 기준정보'!$B$5:$H$49936,6,0)*DJ39,"")</f>
        <v/>
      </c>
      <c r="DK40" s="43" t="str">
        <f>IFERROR(VLOOKUP(DK36,'[1]M 기준정보'!$B$5:$H$49936,6,0)*DK39,"")</f>
        <v/>
      </c>
      <c r="DL40" s="43" t="str">
        <f>IFERROR(VLOOKUP(DL36,'[1]M 기준정보'!$B$5:$H$49936,6,0)*DL39,"")</f>
        <v/>
      </c>
      <c r="DM40" s="43" t="str">
        <f>IFERROR(VLOOKUP(DM36,'[1]M 기준정보'!$B$5:$H$49936,6,0)*DM39,"")</f>
        <v/>
      </c>
      <c r="DN40" s="43" t="str">
        <f>IFERROR(VLOOKUP(DN36,'[1]M 기준정보'!$B$5:$H$49936,6,0)*DN39,"")</f>
        <v/>
      </c>
      <c r="DO40" s="43" t="str">
        <f>IFERROR(VLOOKUP(DO36,'[1]M 기준정보'!$B$5:$H$49936,6,0)*DO39,"")</f>
        <v/>
      </c>
      <c r="DP40" s="43" t="str">
        <f>IFERROR(VLOOKUP(DP36,'[1]M 기준정보'!$B$5:$H$49936,6,0)*DP39,"")</f>
        <v/>
      </c>
      <c r="DQ40" s="43" t="str">
        <f>IFERROR(VLOOKUP(DQ36,'[1]M 기준정보'!$B$5:$H$49936,6,0)*DQ39,"")</f>
        <v/>
      </c>
      <c r="DR40" s="43" t="str">
        <f>IFERROR(VLOOKUP(DR36,'[1]M 기준정보'!$B$5:$H$49936,6,0)*DR39,"")</f>
        <v/>
      </c>
      <c r="DS40" s="43" t="str">
        <f>IFERROR(VLOOKUP(DS36,'[1]M 기준정보'!$B$5:$H$49936,6,0)*DS39,"")</f>
        <v/>
      </c>
      <c r="DT40" s="43" t="str">
        <f>IFERROR(VLOOKUP(DT36,'[1]M 기준정보'!$B$5:$H$49936,6,0)*DT39,"")</f>
        <v/>
      </c>
      <c r="DU40" s="43" t="str">
        <f>IFERROR(VLOOKUP(DU36,'[1]M 기준정보'!$B$5:$H$49936,6,0)*DU39,"")</f>
        <v/>
      </c>
      <c r="DV40" s="43" t="str">
        <f>IFERROR(VLOOKUP(DV36,'[1]M 기준정보'!$B$5:$H$49936,6,0)*DV39,"")</f>
        <v/>
      </c>
      <c r="DW40" s="43" t="str">
        <f>IFERROR(VLOOKUP(DW36,'[1]M 기준정보'!$B$5:$H$49936,6,0)*DW39,"")</f>
        <v/>
      </c>
      <c r="DX40" s="43" t="str">
        <f>IFERROR(VLOOKUP(DX36,'[1]M 기준정보'!$B$5:$H$49936,6,0)*DX39,"")</f>
        <v/>
      </c>
      <c r="DY40" s="43" t="str">
        <f>IFERROR(VLOOKUP(DY36,'[1]M 기준정보'!$B$5:$H$49936,6,0)*DY39,"")</f>
        <v/>
      </c>
      <c r="DZ40" s="43" t="str">
        <f>IFERROR(VLOOKUP(DZ36,'[1]M 기준정보'!$B$5:$H$49936,6,0)*DZ39,"")</f>
        <v/>
      </c>
      <c r="EA40" s="43" t="str">
        <f>IFERROR(VLOOKUP(EA36,'[1]M 기준정보'!$B$5:$H$49936,6,0)*EA39,"")</f>
        <v/>
      </c>
      <c r="EB40" s="43" t="str">
        <f>IFERROR(VLOOKUP(EB36,'[1]M 기준정보'!$B$5:$H$49936,6,0)*EB39,"")</f>
        <v/>
      </c>
      <c r="EC40" s="43" t="str">
        <f>IFERROR(VLOOKUP(EC36,'[1]M 기준정보'!$B$5:$H$49936,6,0)*EC39,"")</f>
        <v/>
      </c>
      <c r="ED40" s="43" t="str">
        <f>IFERROR(VLOOKUP(ED36,'[1]M 기준정보'!$B$5:$H$49936,6,0)*ED39,"")</f>
        <v/>
      </c>
      <c r="EE40" s="43" t="str">
        <f>IFERROR(VLOOKUP(EE36,'[1]M 기준정보'!$B$5:$H$49936,6,0)*EE39,"")</f>
        <v/>
      </c>
      <c r="EF40" s="43" t="str">
        <f>IFERROR(VLOOKUP(EF36,'[1]M 기준정보'!$B$5:$H$49936,6,0)*EF39,"")</f>
        <v/>
      </c>
    </row>
    <row r="41" spans="1:136" ht="23.25" customHeight="1" x14ac:dyDescent="0.3">
      <c r="A41" s="49"/>
      <c r="B41" s="14" t="s">
        <v>15</v>
      </c>
      <c r="C41" s="16"/>
      <c r="D41" s="16"/>
      <c r="E41" s="35" t="s">
        <v>42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</row>
    <row r="42" spans="1:136" ht="25.5" customHeight="1" x14ac:dyDescent="0.3">
      <c r="A42" s="49"/>
      <c r="B42" s="23" t="s">
        <v>66</v>
      </c>
      <c r="C42" s="50" t="str">
        <f>IFERROR(VLOOKUP(C41,'[1]M 기준정보'!$B$5:$C$49936,2,0),"")</f>
        <v/>
      </c>
      <c r="D42" s="50" t="str">
        <f>IFERROR(VLOOKUP(D41,'[1]M 기준정보'!$B$5:$C$49936,2,0),"")</f>
        <v/>
      </c>
      <c r="E42" s="50" t="str">
        <f>IFERROR(VLOOKUP(E41,'[1]M 기준정보'!$B$5:$C$49936,2,0),"")</f>
        <v>SST6000LD</v>
      </c>
      <c r="F42" s="50" t="str">
        <f>IFERROR(VLOOKUP(F41,'[1]M 기준정보'!$B$5:$C$49936,2,0),"")</f>
        <v/>
      </c>
      <c r="G42" s="50" t="str">
        <f>IFERROR(VLOOKUP(G41,'[1]M 기준정보'!$B$5:$C$49936,2,0),"")</f>
        <v/>
      </c>
      <c r="H42" s="50" t="str">
        <f>IFERROR(VLOOKUP(H41,'[1]M 기준정보'!$B$5:$C$49936,2,0),"")</f>
        <v/>
      </c>
      <c r="I42" s="50" t="str">
        <f>IFERROR(VLOOKUP(I41,'[1]M 기준정보'!$B$5:$C$49936,2,0),"")</f>
        <v/>
      </c>
      <c r="J42" s="50" t="str">
        <f>IFERROR(VLOOKUP(J41,'[1]M 기준정보'!$B$5:$C$49936,2,0),"")</f>
        <v/>
      </c>
      <c r="K42" s="50" t="str">
        <f>IFERROR(VLOOKUP(K41,'[1]M 기준정보'!$B$5:$C$49936,2,0),"")</f>
        <v/>
      </c>
      <c r="L42" s="50" t="str">
        <f>IFERROR(VLOOKUP(L41,'[1]M 기준정보'!$B$5:$C$49936,2,0),"")</f>
        <v/>
      </c>
      <c r="M42" s="50" t="str">
        <f>IFERROR(VLOOKUP(M41,'[1]M 기준정보'!$B$5:$C$49936,2,0),"")</f>
        <v/>
      </c>
      <c r="N42" s="50" t="str">
        <f>IFERROR(VLOOKUP(N41,'[1]M 기준정보'!$B$5:$C$49936,2,0),"")</f>
        <v/>
      </c>
      <c r="O42" s="50" t="str">
        <f>IFERROR(VLOOKUP(O41,'[1]M 기준정보'!$B$5:$C$49936,2,0),"")</f>
        <v/>
      </c>
      <c r="P42" s="50" t="str">
        <f>IFERROR(VLOOKUP(P41,'[1]M 기준정보'!$B$5:$C$49936,2,0),"")</f>
        <v/>
      </c>
      <c r="Q42" s="50" t="str">
        <f>IFERROR(VLOOKUP(Q41,'[1]M 기준정보'!$B$5:$C$49936,2,0),"")</f>
        <v/>
      </c>
      <c r="R42" s="50" t="str">
        <f>IFERROR(VLOOKUP(R41,'[1]M 기준정보'!$B$5:$C$49936,2,0),"")</f>
        <v/>
      </c>
      <c r="S42" s="50" t="str">
        <f>IFERROR(VLOOKUP(S41,'[1]M 기준정보'!$B$5:$C$49936,2,0),"")</f>
        <v/>
      </c>
      <c r="T42" s="50" t="str">
        <f>IFERROR(VLOOKUP(T41,'[1]M 기준정보'!$B$5:$C$49936,2,0),"")</f>
        <v/>
      </c>
      <c r="U42" s="50" t="str">
        <f>IFERROR(VLOOKUP(U41,'[1]M 기준정보'!$B$5:$C$49936,2,0),"")</f>
        <v/>
      </c>
      <c r="V42" s="50" t="str">
        <f>IFERROR(VLOOKUP(V41,'[1]M 기준정보'!$B$5:$C$49936,2,0),"")</f>
        <v/>
      </c>
      <c r="W42" s="50" t="str">
        <f>IFERROR(VLOOKUP(W41,'[1]M 기준정보'!$B$5:$C$49936,2,0),"")</f>
        <v/>
      </c>
      <c r="X42" s="50" t="str">
        <f>IFERROR(VLOOKUP(X41,'[1]M 기준정보'!$B$5:$C$49936,2,0),"")</f>
        <v/>
      </c>
      <c r="Y42" s="50" t="str">
        <f>IFERROR(VLOOKUP(Y41,'[1]M 기준정보'!$B$5:$C$49936,2,0),"")</f>
        <v/>
      </c>
      <c r="Z42" s="50" t="str">
        <f>IFERROR(VLOOKUP(Z41,'[1]M 기준정보'!$B$5:$C$49936,2,0),"")</f>
        <v/>
      </c>
      <c r="AA42" s="50" t="str">
        <f>IFERROR(VLOOKUP(AA41,'[1]M 기준정보'!$B$5:$C$49936,2,0),"")</f>
        <v/>
      </c>
      <c r="AB42" s="50" t="str">
        <f>IFERROR(VLOOKUP(AB41,'[1]M 기준정보'!$B$5:$C$49936,2,0),"")</f>
        <v/>
      </c>
      <c r="AC42" s="50" t="str">
        <f>IFERROR(VLOOKUP(AC41,'[1]M 기준정보'!$B$5:$C$49936,2,0),"")</f>
        <v/>
      </c>
      <c r="AD42" s="50" t="str">
        <f>IFERROR(VLOOKUP(AD41,'[1]M 기준정보'!$B$5:$C$49936,2,0),"")</f>
        <v/>
      </c>
      <c r="AE42" s="50" t="str">
        <f>IFERROR(VLOOKUP(AE41,'[1]M 기준정보'!$B$5:$C$49936,2,0),"")</f>
        <v/>
      </c>
      <c r="AF42" s="50" t="str">
        <f>IFERROR(VLOOKUP(AF41,'[1]M 기준정보'!$B$5:$C$49936,2,0),"")</f>
        <v/>
      </c>
      <c r="AG42" s="50" t="str">
        <f>IFERROR(VLOOKUP(AG41,'[1]M 기준정보'!$B$5:$C$49936,2,0),"")</f>
        <v/>
      </c>
      <c r="AH42" s="50" t="str">
        <f>IFERROR(VLOOKUP(AH41,'[1]M 기준정보'!$B$5:$C$49936,2,0),"")</f>
        <v/>
      </c>
      <c r="AI42" s="50" t="str">
        <f>IFERROR(VLOOKUP(AI41,'[1]M 기준정보'!$B$5:$C$49936,2,0),"")</f>
        <v/>
      </c>
      <c r="AJ42" s="50" t="str">
        <f>IFERROR(VLOOKUP(AJ41,'[1]M 기준정보'!$B$5:$C$49936,2,0),"")</f>
        <v/>
      </c>
      <c r="AK42" s="50" t="str">
        <f>IFERROR(VLOOKUP(AK41,'[1]M 기준정보'!$B$5:$C$49936,2,0),"")</f>
        <v/>
      </c>
      <c r="AL42" s="50" t="str">
        <f>IFERROR(VLOOKUP(AL41,'[1]M 기준정보'!$B$5:$C$49936,2,0),"")</f>
        <v/>
      </c>
      <c r="AM42" s="50" t="str">
        <f>IFERROR(VLOOKUP(AM41,'[1]M 기준정보'!$B$5:$C$49936,2,0),"")</f>
        <v/>
      </c>
      <c r="AN42" s="50" t="str">
        <f>IFERROR(VLOOKUP(AN41,'[1]M 기준정보'!$B$5:$C$49936,2,0),"")</f>
        <v/>
      </c>
      <c r="AO42" s="50" t="str">
        <f>IFERROR(VLOOKUP(AO41,'[1]M 기준정보'!$B$5:$C$49936,2,0),"")</f>
        <v/>
      </c>
      <c r="AP42" s="50" t="str">
        <f>IFERROR(VLOOKUP(AP41,'[1]M 기준정보'!$B$5:$C$49936,2,0),"")</f>
        <v/>
      </c>
      <c r="AQ42" s="50" t="str">
        <f>IFERROR(VLOOKUP(AQ41,'[1]M 기준정보'!$B$5:$C$49936,2,0),"")</f>
        <v/>
      </c>
      <c r="AR42" s="50" t="str">
        <f>IFERROR(VLOOKUP(AR41,'[1]M 기준정보'!$B$5:$C$49936,2,0),"")</f>
        <v/>
      </c>
      <c r="AS42" s="50" t="str">
        <f>IFERROR(VLOOKUP(AS41,'[1]M 기준정보'!$B$5:$C$49936,2,0),"")</f>
        <v/>
      </c>
      <c r="AT42" s="50" t="str">
        <f>IFERROR(VLOOKUP(AT41,'[1]M 기준정보'!$B$5:$C$49936,2,0),"")</f>
        <v/>
      </c>
      <c r="AU42" s="50" t="str">
        <f>IFERROR(VLOOKUP(AU41,'[1]M 기준정보'!$B$5:$C$49936,2,0),"")</f>
        <v/>
      </c>
      <c r="AV42" s="50" t="str">
        <f>IFERROR(VLOOKUP(AV41,'[1]M 기준정보'!$B$5:$C$49936,2,0),"")</f>
        <v/>
      </c>
      <c r="AW42" s="50" t="str">
        <f>IFERROR(VLOOKUP(AW41,'[1]M 기준정보'!$B$5:$C$49936,2,0),"")</f>
        <v/>
      </c>
      <c r="AX42" s="50" t="str">
        <f>IFERROR(VLOOKUP(AX41,'[1]M 기준정보'!$B$5:$C$49936,2,0),"")</f>
        <v/>
      </c>
      <c r="AY42" s="50" t="str">
        <f>IFERROR(VLOOKUP(AY41,'[1]M 기준정보'!$B$5:$C$49936,2,0),"")</f>
        <v/>
      </c>
      <c r="AZ42" s="50" t="str">
        <f>IFERROR(VLOOKUP(AZ41,'[1]M 기준정보'!$B$5:$C$49936,2,0),"")</f>
        <v/>
      </c>
      <c r="BA42" s="50" t="str">
        <f>IFERROR(VLOOKUP(BA41,'[1]M 기준정보'!$B$5:$C$49936,2,0),"")</f>
        <v/>
      </c>
      <c r="BB42" s="50" t="str">
        <f>IFERROR(VLOOKUP(BB41,'[1]M 기준정보'!$B$5:$C$49936,2,0),"")</f>
        <v/>
      </c>
      <c r="BC42" s="50" t="str">
        <f>IFERROR(VLOOKUP(BC41,'[1]M 기준정보'!$B$5:$C$49936,2,0),"")</f>
        <v/>
      </c>
      <c r="BD42" s="50" t="str">
        <f>IFERROR(VLOOKUP(BD41,'[1]M 기준정보'!$B$5:$C$49936,2,0),"")</f>
        <v/>
      </c>
      <c r="BE42" s="50" t="str">
        <f>IFERROR(VLOOKUP(BE41,'[1]M 기준정보'!$B$5:$C$49936,2,0),"")</f>
        <v/>
      </c>
      <c r="BF42" s="50" t="str">
        <f>IFERROR(VLOOKUP(BF41,'[1]M 기준정보'!$B$5:$C$49936,2,0),"")</f>
        <v/>
      </c>
      <c r="BG42" s="50" t="str">
        <f>IFERROR(VLOOKUP(BG41,'[1]M 기준정보'!$B$5:$C$49936,2,0),"")</f>
        <v/>
      </c>
      <c r="BH42" s="50" t="str">
        <f>IFERROR(VLOOKUP(BH41,'[1]M 기준정보'!$B$5:$C$49936,2,0),"")</f>
        <v/>
      </c>
      <c r="BI42" s="50" t="str">
        <f>IFERROR(VLOOKUP(BI41,'[1]M 기준정보'!$B$5:$C$49936,2,0),"")</f>
        <v/>
      </c>
      <c r="BJ42" s="50" t="str">
        <f>IFERROR(VLOOKUP(BJ41,'[1]M 기준정보'!$B$5:$C$49936,2,0),"")</f>
        <v/>
      </c>
      <c r="BK42" s="50" t="str">
        <f>IFERROR(VLOOKUP(BK41,'[1]M 기준정보'!$B$5:$C$49936,2,0),"")</f>
        <v/>
      </c>
      <c r="BL42" s="50" t="str">
        <f>IFERROR(VLOOKUP(BL41,'[1]M 기준정보'!$B$5:$C$49936,2,0),"")</f>
        <v/>
      </c>
      <c r="BM42" s="50" t="str">
        <f>IFERROR(VLOOKUP(BM41,'[1]M 기준정보'!$B$5:$C$49936,2,0),"")</f>
        <v/>
      </c>
      <c r="BN42" s="50" t="str">
        <f>IFERROR(VLOOKUP(BN41,'[1]M 기준정보'!$B$5:$C$49936,2,0),"")</f>
        <v/>
      </c>
      <c r="BO42" s="50" t="str">
        <f>IFERROR(VLOOKUP(BO41,'[1]M 기준정보'!$B$5:$C$49936,2,0),"")</f>
        <v/>
      </c>
      <c r="BP42" s="50" t="str">
        <f>IFERROR(VLOOKUP(BP41,'[1]M 기준정보'!$B$5:$C$49936,2,0),"")</f>
        <v/>
      </c>
      <c r="BQ42" s="50" t="str">
        <f>IFERROR(VLOOKUP(BQ41,'[1]M 기준정보'!$B$5:$C$49936,2,0),"")</f>
        <v/>
      </c>
      <c r="BR42" s="50" t="str">
        <f>IFERROR(VLOOKUP(BR41,'[1]M 기준정보'!$B$5:$C$49936,2,0),"")</f>
        <v/>
      </c>
      <c r="BS42" s="50" t="str">
        <f>IFERROR(VLOOKUP(BS41,'[1]M 기준정보'!$B$5:$C$49936,2,0),"")</f>
        <v/>
      </c>
      <c r="BT42" s="50" t="str">
        <f>IFERROR(VLOOKUP(BT41,'[1]M 기준정보'!$B$5:$C$49936,2,0),"")</f>
        <v/>
      </c>
      <c r="BU42" s="50" t="str">
        <f>IFERROR(VLOOKUP(BU41,'[1]M 기준정보'!$B$5:$C$49936,2,0),"")</f>
        <v/>
      </c>
      <c r="BV42" s="50" t="str">
        <f>IFERROR(VLOOKUP(BV41,'[1]M 기준정보'!$B$5:$C$49936,2,0),"")</f>
        <v/>
      </c>
      <c r="BW42" s="50" t="str">
        <f>IFERROR(VLOOKUP(BW41,'[1]M 기준정보'!$B$5:$C$49936,2,0),"")</f>
        <v/>
      </c>
      <c r="BX42" s="50" t="str">
        <f>IFERROR(VLOOKUP(BX41,'[1]M 기준정보'!$B$5:$C$49936,2,0),"")</f>
        <v/>
      </c>
      <c r="BY42" s="50" t="str">
        <f>IFERROR(VLOOKUP(BY41,'[1]M 기준정보'!$B$5:$C$49936,2,0),"")</f>
        <v/>
      </c>
      <c r="BZ42" s="50" t="str">
        <f>IFERROR(VLOOKUP(BZ41,'[1]M 기준정보'!$B$5:$C$49936,2,0),"")</f>
        <v/>
      </c>
      <c r="CA42" s="50" t="str">
        <f>IFERROR(VLOOKUP(CA41,'[1]M 기준정보'!$B$5:$C$49936,2,0),"")</f>
        <v/>
      </c>
      <c r="CB42" s="50" t="str">
        <f>IFERROR(VLOOKUP(CB41,'[1]M 기준정보'!$B$5:$C$49936,2,0),"")</f>
        <v/>
      </c>
      <c r="CC42" s="50" t="str">
        <f>IFERROR(VLOOKUP(CC41,'[1]M 기준정보'!$B$5:$C$49936,2,0),"")</f>
        <v/>
      </c>
      <c r="CD42" s="50" t="str">
        <f>IFERROR(VLOOKUP(CD41,'[1]M 기준정보'!$B$5:$C$49936,2,0),"")</f>
        <v/>
      </c>
      <c r="CE42" s="50" t="str">
        <f>IFERROR(VLOOKUP(CE41,'[1]M 기준정보'!$B$5:$C$49936,2,0),"")</f>
        <v/>
      </c>
      <c r="CF42" s="50" t="str">
        <f>IFERROR(VLOOKUP(CF41,'[1]M 기준정보'!$B$5:$C$49936,2,0),"")</f>
        <v/>
      </c>
      <c r="CG42" s="50" t="str">
        <f>IFERROR(VLOOKUP(CG41,'[1]M 기준정보'!$B$5:$C$49936,2,0),"")</f>
        <v/>
      </c>
      <c r="CH42" s="50" t="str">
        <f>IFERROR(VLOOKUP(CH41,'[1]M 기준정보'!$B$5:$C$49936,2,0),"")</f>
        <v/>
      </c>
      <c r="CI42" s="50" t="str">
        <f>IFERROR(VLOOKUP(CI41,'[1]M 기준정보'!$B$5:$C$49936,2,0),"")</f>
        <v/>
      </c>
      <c r="CJ42" s="50" t="str">
        <f>IFERROR(VLOOKUP(CJ41,'[1]M 기준정보'!$B$5:$C$49936,2,0),"")</f>
        <v/>
      </c>
      <c r="CK42" s="50" t="str">
        <f>IFERROR(VLOOKUP(CK41,'[1]M 기준정보'!$B$5:$C$49936,2,0),"")</f>
        <v/>
      </c>
      <c r="CL42" s="50" t="str">
        <f>IFERROR(VLOOKUP(CL41,'[1]M 기준정보'!$B$5:$C$49936,2,0),"")</f>
        <v/>
      </c>
      <c r="CM42" s="50" t="str">
        <f>IFERROR(VLOOKUP(CM41,'[1]M 기준정보'!$B$5:$C$49936,2,0),"")</f>
        <v/>
      </c>
      <c r="CN42" s="50" t="str">
        <f>IFERROR(VLOOKUP(CN41,'[1]M 기준정보'!$B$5:$C$49936,2,0),"")</f>
        <v/>
      </c>
      <c r="CO42" s="50" t="str">
        <f>IFERROR(VLOOKUP(CO41,'[1]M 기준정보'!$B$5:$C$49936,2,0),"")</f>
        <v/>
      </c>
      <c r="CP42" s="50" t="str">
        <f>IFERROR(VLOOKUP(CP41,'[1]M 기준정보'!$B$5:$C$49936,2,0),"")</f>
        <v/>
      </c>
      <c r="CQ42" s="50" t="str">
        <f>IFERROR(VLOOKUP(CQ41,'[1]M 기준정보'!$B$5:$C$49936,2,0),"")</f>
        <v/>
      </c>
      <c r="CR42" s="50" t="str">
        <f>IFERROR(VLOOKUP(CR41,'[1]M 기준정보'!$B$5:$C$49936,2,0),"")</f>
        <v/>
      </c>
      <c r="CS42" s="50" t="str">
        <f>IFERROR(VLOOKUP(CS41,'[1]M 기준정보'!$B$5:$C$49936,2,0),"")</f>
        <v/>
      </c>
      <c r="CT42" s="50" t="str">
        <f>IFERROR(VLOOKUP(CT41,'[1]M 기준정보'!$B$5:$C$49936,2,0),"")</f>
        <v/>
      </c>
      <c r="CU42" s="50" t="str">
        <f>IFERROR(VLOOKUP(CU41,'[1]M 기준정보'!$B$5:$C$49936,2,0),"")</f>
        <v/>
      </c>
      <c r="CV42" s="50" t="str">
        <f>IFERROR(VLOOKUP(CV41,'[1]M 기준정보'!$B$5:$C$49936,2,0),"")</f>
        <v/>
      </c>
      <c r="CW42" s="50" t="str">
        <f>IFERROR(VLOOKUP(CW41,'[1]M 기준정보'!$B$5:$C$49936,2,0),"")</f>
        <v/>
      </c>
      <c r="CX42" s="50" t="str">
        <f>IFERROR(VLOOKUP(CX41,'[1]M 기준정보'!$B$5:$C$49936,2,0),"")</f>
        <v/>
      </c>
      <c r="CY42" s="50" t="str">
        <f>IFERROR(VLOOKUP(CY41,'[1]M 기준정보'!$B$5:$C$49936,2,0),"")</f>
        <v/>
      </c>
      <c r="CZ42" s="50" t="str">
        <f>IFERROR(VLOOKUP(CZ41,'[1]M 기준정보'!$B$5:$C$49936,2,0),"")</f>
        <v/>
      </c>
      <c r="DA42" s="50" t="str">
        <f>IFERROR(VLOOKUP(DA41,'[1]M 기준정보'!$B$5:$C$49936,2,0),"")</f>
        <v/>
      </c>
      <c r="DB42" s="50" t="str">
        <f>IFERROR(VLOOKUP(DB41,'[1]M 기준정보'!$B$5:$C$49936,2,0),"")</f>
        <v/>
      </c>
      <c r="DC42" s="50" t="str">
        <f>IFERROR(VLOOKUP(DC41,'[1]M 기준정보'!$B$5:$C$49936,2,0),"")</f>
        <v/>
      </c>
      <c r="DD42" s="50" t="str">
        <f>IFERROR(VLOOKUP(DD41,'[1]M 기준정보'!$B$5:$C$49936,2,0),"")</f>
        <v/>
      </c>
      <c r="DE42" s="50" t="str">
        <f>IFERROR(VLOOKUP(DE41,'[1]M 기준정보'!$B$5:$C$49936,2,0),"")</f>
        <v/>
      </c>
      <c r="DF42" s="50" t="str">
        <f>IFERROR(VLOOKUP(DF41,'[1]M 기준정보'!$B$5:$C$49936,2,0),"")</f>
        <v/>
      </c>
      <c r="DG42" s="50" t="str">
        <f>IFERROR(VLOOKUP(DG41,'[1]M 기준정보'!$B$5:$C$49936,2,0),"")</f>
        <v/>
      </c>
      <c r="DH42" s="50" t="str">
        <f>IFERROR(VLOOKUP(DH41,'[1]M 기준정보'!$B$5:$C$49936,2,0),"")</f>
        <v/>
      </c>
      <c r="DI42" s="50" t="str">
        <f>IFERROR(VLOOKUP(DI41,'[1]M 기준정보'!$B$5:$C$49936,2,0),"")</f>
        <v/>
      </c>
      <c r="DJ42" s="50" t="str">
        <f>IFERROR(VLOOKUP(DJ41,'[1]M 기준정보'!$B$5:$C$49936,2,0),"")</f>
        <v/>
      </c>
      <c r="DK42" s="50" t="str">
        <f>IFERROR(VLOOKUP(DK41,'[1]M 기준정보'!$B$5:$C$49936,2,0),"")</f>
        <v/>
      </c>
      <c r="DL42" s="50" t="str">
        <f>IFERROR(VLOOKUP(DL41,'[1]M 기준정보'!$B$5:$C$49936,2,0),"")</f>
        <v/>
      </c>
      <c r="DM42" s="50" t="str">
        <f>IFERROR(VLOOKUP(DM41,'[1]M 기준정보'!$B$5:$C$49936,2,0),"")</f>
        <v/>
      </c>
      <c r="DN42" s="50" t="str">
        <f>IFERROR(VLOOKUP(DN41,'[1]M 기준정보'!$B$5:$C$49936,2,0),"")</f>
        <v/>
      </c>
      <c r="DO42" s="50" t="str">
        <f>IFERROR(VLOOKUP(DO41,'[1]M 기준정보'!$B$5:$C$49936,2,0),"")</f>
        <v/>
      </c>
      <c r="DP42" s="50" t="str">
        <f>IFERROR(VLOOKUP(DP41,'[1]M 기준정보'!$B$5:$C$49936,2,0),"")</f>
        <v/>
      </c>
      <c r="DQ42" s="50" t="str">
        <f>IFERROR(VLOOKUP(DQ41,'[1]M 기준정보'!$B$5:$C$49936,2,0),"")</f>
        <v/>
      </c>
      <c r="DR42" s="50" t="str">
        <f>IFERROR(VLOOKUP(DR41,'[1]M 기준정보'!$B$5:$C$49936,2,0),"")</f>
        <v/>
      </c>
      <c r="DS42" s="50" t="str">
        <f>IFERROR(VLOOKUP(DS41,'[1]M 기준정보'!$B$5:$C$49936,2,0),"")</f>
        <v/>
      </c>
      <c r="DT42" s="50" t="str">
        <f>IFERROR(VLOOKUP(DT41,'[1]M 기준정보'!$B$5:$C$49936,2,0),"")</f>
        <v/>
      </c>
      <c r="DU42" s="50" t="str">
        <f>IFERROR(VLOOKUP(DU41,'[1]M 기준정보'!$B$5:$C$49936,2,0),"")</f>
        <v/>
      </c>
      <c r="DV42" s="50" t="str">
        <f>IFERROR(VLOOKUP(DV41,'[1]M 기준정보'!$B$5:$C$49936,2,0),"")</f>
        <v/>
      </c>
      <c r="DW42" s="50" t="str">
        <f>IFERROR(VLOOKUP(DW41,'[1]M 기준정보'!$B$5:$C$49936,2,0),"")</f>
        <v/>
      </c>
      <c r="DX42" s="50" t="str">
        <f>IFERROR(VLOOKUP(DX41,'[1]M 기준정보'!$B$5:$C$49936,2,0),"")</f>
        <v/>
      </c>
      <c r="DY42" s="50" t="str">
        <f>IFERROR(VLOOKUP(DY41,'[1]M 기준정보'!$B$5:$C$49936,2,0),"")</f>
        <v/>
      </c>
      <c r="DZ42" s="50" t="str">
        <f>IFERROR(VLOOKUP(DZ41,'[1]M 기준정보'!$B$5:$C$49936,2,0),"")</f>
        <v/>
      </c>
      <c r="EA42" s="50" t="str">
        <f>IFERROR(VLOOKUP(EA41,'[1]M 기준정보'!$B$5:$C$49936,2,0),"")</f>
        <v/>
      </c>
      <c r="EB42" s="50" t="str">
        <f>IFERROR(VLOOKUP(EB41,'[1]M 기준정보'!$B$5:$C$49936,2,0),"")</f>
        <v/>
      </c>
      <c r="EC42" s="50" t="str">
        <f>IFERROR(VLOOKUP(EC41,'[1]M 기준정보'!$B$5:$C$49936,2,0),"")</f>
        <v/>
      </c>
      <c r="ED42" s="50" t="str">
        <f>IFERROR(VLOOKUP(ED41,'[1]M 기준정보'!$B$5:$C$49936,2,0),"")</f>
        <v/>
      </c>
      <c r="EE42" s="50" t="str">
        <f>IFERROR(VLOOKUP(EE41,'[1]M 기준정보'!$B$5:$C$49936,2,0),"")</f>
        <v/>
      </c>
      <c r="EF42" s="50" t="str">
        <f>IFERROR(VLOOKUP(EF41,'[1]M 기준정보'!$B$5:$C$49936,2,0),"")</f>
        <v/>
      </c>
    </row>
    <row r="43" spans="1:136" ht="22.5" customHeight="1" thickBot="1" x14ac:dyDescent="0.35">
      <c r="A43" s="56"/>
      <c r="B43" s="51" t="s">
        <v>67</v>
      </c>
      <c r="C43" s="55"/>
      <c r="D43" s="55"/>
      <c r="E43" s="52" t="s">
        <v>104</v>
      </c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</row>
    <row r="44" spans="1:136" s="60" customFormat="1" ht="41.25" customHeight="1" thickBot="1" x14ac:dyDescent="0.35">
      <c r="A44" s="57">
        <v>0</v>
      </c>
      <c r="B44" s="58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</row>
    <row r="45" spans="1:136" ht="17.25" hidden="1" customHeight="1" thickBot="1" x14ac:dyDescent="0.35"/>
    <row r="46" spans="1:136" x14ac:dyDescent="0.3">
      <c r="A46" s="61" t="s">
        <v>105</v>
      </c>
      <c r="B46" s="62" t="s">
        <v>24</v>
      </c>
      <c r="C46" s="63">
        <f t="shared" ref="C46:BN46" si="9">SUMIF($B$5:$B$40,$B$46,C5:C40)</f>
        <v>91</v>
      </c>
      <c r="D46" s="63">
        <f t="shared" si="9"/>
        <v>92</v>
      </c>
      <c r="E46" s="63">
        <f t="shared" si="9"/>
        <v>16</v>
      </c>
      <c r="F46" s="63">
        <f t="shared" si="9"/>
        <v>41</v>
      </c>
      <c r="G46" s="63">
        <f t="shared" si="9"/>
        <v>0</v>
      </c>
      <c r="H46" s="63">
        <f t="shared" si="9"/>
        <v>0</v>
      </c>
      <c r="I46" s="63">
        <f t="shared" si="9"/>
        <v>30</v>
      </c>
      <c r="J46" s="63">
        <f t="shared" si="9"/>
        <v>32</v>
      </c>
      <c r="K46" s="63">
        <f t="shared" si="9"/>
        <v>50</v>
      </c>
      <c r="L46" s="63">
        <f t="shared" si="9"/>
        <v>110</v>
      </c>
      <c r="M46" s="63">
        <f t="shared" si="9"/>
        <v>102</v>
      </c>
      <c r="N46" s="63">
        <f t="shared" si="9"/>
        <v>0</v>
      </c>
      <c r="O46" s="63">
        <f t="shared" si="9"/>
        <v>0</v>
      </c>
      <c r="P46" s="63">
        <f t="shared" si="9"/>
        <v>60</v>
      </c>
      <c r="Q46" s="63">
        <f t="shared" si="9"/>
        <v>60</v>
      </c>
      <c r="R46" s="63">
        <f t="shared" si="9"/>
        <v>70</v>
      </c>
      <c r="S46" s="63">
        <f t="shared" si="9"/>
        <v>96</v>
      </c>
      <c r="T46" s="63">
        <f t="shared" si="9"/>
        <v>50</v>
      </c>
      <c r="U46" s="63">
        <f t="shared" si="9"/>
        <v>0</v>
      </c>
      <c r="V46" s="63">
        <f t="shared" si="9"/>
        <v>0</v>
      </c>
      <c r="W46" s="63">
        <f t="shared" si="9"/>
        <v>95</v>
      </c>
      <c r="X46" s="63">
        <f t="shared" si="9"/>
        <v>40</v>
      </c>
      <c r="Y46" s="63">
        <f t="shared" si="9"/>
        <v>40</v>
      </c>
      <c r="Z46" s="63">
        <f t="shared" si="9"/>
        <v>52</v>
      </c>
      <c r="AA46" s="63">
        <f t="shared" si="9"/>
        <v>40</v>
      </c>
      <c r="AB46" s="63">
        <f t="shared" si="9"/>
        <v>0</v>
      </c>
      <c r="AC46" s="63">
        <f t="shared" si="9"/>
        <v>0</v>
      </c>
      <c r="AD46" s="63">
        <f t="shared" si="9"/>
        <v>74</v>
      </c>
      <c r="AE46" s="63">
        <f t="shared" si="9"/>
        <v>90</v>
      </c>
      <c r="AF46" s="63">
        <f t="shared" si="9"/>
        <v>40</v>
      </c>
      <c r="AG46" s="63">
        <f t="shared" si="9"/>
        <v>40</v>
      </c>
      <c r="AH46" s="63">
        <f t="shared" si="9"/>
        <v>0</v>
      </c>
      <c r="AI46" s="63">
        <f t="shared" si="9"/>
        <v>0</v>
      </c>
      <c r="AJ46" s="63">
        <f t="shared" si="9"/>
        <v>0</v>
      </c>
      <c r="AK46" s="63">
        <f t="shared" si="9"/>
        <v>0</v>
      </c>
      <c r="AL46" s="63">
        <f t="shared" si="9"/>
        <v>0</v>
      </c>
      <c r="AM46" s="63">
        <f t="shared" si="9"/>
        <v>20</v>
      </c>
      <c r="AN46" s="63">
        <f t="shared" si="9"/>
        <v>20</v>
      </c>
      <c r="AO46" s="63">
        <f t="shared" si="9"/>
        <v>20</v>
      </c>
      <c r="AP46" s="63">
        <f t="shared" si="9"/>
        <v>0</v>
      </c>
      <c r="AQ46" s="63">
        <f t="shared" si="9"/>
        <v>0</v>
      </c>
      <c r="AR46" s="63">
        <f t="shared" si="9"/>
        <v>0</v>
      </c>
      <c r="AS46" s="63">
        <f t="shared" si="9"/>
        <v>0</v>
      </c>
      <c r="AT46" s="63">
        <f t="shared" si="9"/>
        <v>0</v>
      </c>
      <c r="AU46" s="63">
        <f t="shared" si="9"/>
        <v>0</v>
      </c>
      <c r="AV46" s="63">
        <f t="shared" si="9"/>
        <v>0</v>
      </c>
      <c r="AW46" s="63">
        <f t="shared" si="9"/>
        <v>0</v>
      </c>
      <c r="AX46" s="63">
        <f t="shared" si="9"/>
        <v>0</v>
      </c>
      <c r="AY46" s="63">
        <f t="shared" si="9"/>
        <v>0</v>
      </c>
      <c r="AZ46" s="63">
        <f t="shared" si="9"/>
        <v>0</v>
      </c>
      <c r="BA46" s="63">
        <f t="shared" si="9"/>
        <v>0</v>
      </c>
      <c r="BB46" s="63">
        <f t="shared" si="9"/>
        <v>0</v>
      </c>
      <c r="BC46" s="63">
        <f t="shared" si="9"/>
        <v>0</v>
      </c>
      <c r="BD46" s="63">
        <f t="shared" si="9"/>
        <v>0</v>
      </c>
      <c r="BE46" s="63">
        <f t="shared" si="9"/>
        <v>0</v>
      </c>
      <c r="BF46" s="63">
        <f t="shared" si="9"/>
        <v>0</v>
      </c>
      <c r="BG46" s="63">
        <f t="shared" si="9"/>
        <v>0</v>
      </c>
      <c r="BH46" s="63">
        <f t="shared" si="9"/>
        <v>0</v>
      </c>
      <c r="BI46" s="63">
        <f t="shared" si="9"/>
        <v>0</v>
      </c>
      <c r="BJ46" s="63">
        <f t="shared" si="9"/>
        <v>0</v>
      </c>
      <c r="BK46" s="63">
        <f t="shared" si="9"/>
        <v>0</v>
      </c>
      <c r="BL46" s="63">
        <f t="shared" si="9"/>
        <v>0</v>
      </c>
      <c r="BM46" s="63">
        <f t="shared" si="9"/>
        <v>0</v>
      </c>
      <c r="BN46" s="63">
        <f t="shared" si="9"/>
        <v>0</v>
      </c>
      <c r="BO46" s="63">
        <f t="shared" ref="BO46:DZ46" si="10">SUMIF($B$5:$B$40,$B$46,BO5:BO40)</f>
        <v>0</v>
      </c>
      <c r="BP46" s="63">
        <f t="shared" si="10"/>
        <v>0</v>
      </c>
      <c r="BQ46" s="63">
        <f t="shared" si="10"/>
        <v>0</v>
      </c>
      <c r="BR46" s="63">
        <f t="shared" si="10"/>
        <v>0</v>
      </c>
      <c r="BS46" s="63">
        <f t="shared" si="10"/>
        <v>0</v>
      </c>
      <c r="BT46" s="63">
        <f t="shared" si="10"/>
        <v>0</v>
      </c>
      <c r="BU46" s="63">
        <f t="shared" si="10"/>
        <v>0</v>
      </c>
      <c r="BV46" s="63">
        <f t="shared" si="10"/>
        <v>0</v>
      </c>
      <c r="BW46" s="63">
        <f t="shared" si="10"/>
        <v>0</v>
      </c>
      <c r="BX46" s="63">
        <f t="shared" si="10"/>
        <v>0</v>
      </c>
      <c r="BY46" s="63">
        <f t="shared" si="10"/>
        <v>0</v>
      </c>
      <c r="BZ46" s="63">
        <f t="shared" si="10"/>
        <v>0</v>
      </c>
      <c r="CA46" s="63">
        <f t="shared" si="10"/>
        <v>0</v>
      </c>
      <c r="CB46" s="63">
        <f t="shared" si="10"/>
        <v>0</v>
      </c>
      <c r="CC46" s="63">
        <f t="shared" si="10"/>
        <v>0</v>
      </c>
      <c r="CD46" s="63">
        <f t="shared" si="10"/>
        <v>0</v>
      </c>
      <c r="CE46" s="63">
        <f t="shared" si="10"/>
        <v>0</v>
      </c>
      <c r="CF46" s="63">
        <f t="shared" si="10"/>
        <v>0</v>
      </c>
      <c r="CG46" s="63">
        <f t="shared" si="10"/>
        <v>0</v>
      </c>
      <c r="CH46" s="63">
        <f t="shared" si="10"/>
        <v>0</v>
      </c>
      <c r="CI46" s="63">
        <f t="shared" si="10"/>
        <v>0</v>
      </c>
      <c r="CJ46" s="63">
        <f t="shared" si="10"/>
        <v>0</v>
      </c>
      <c r="CK46" s="63">
        <f t="shared" si="10"/>
        <v>0</v>
      </c>
      <c r="CL46" s="63">
        <f t="shared" si="10"/>
        <v>0</v>
      </c>
      <c r="CM46" s="63">
        <f t="shared" si="10"/>
        <v>0</v>
      </c>
      <c r="CN46" s="63">
        <f t="shared" si="10"/>
        <v>0</v>
      </c>
      <c r="CO46" s="63">
        <f t="shared" si="10"/>
        <v>0</v>
      </c>
      <c r="CP46" s="63">
        <f t="shared" si="10"/>
        <v>0</v>
      </c>
      <c r="CQ46" s="63">
        <f t="shared" si="10"/>
        <v>0</v>
      </c>
      <c r="CR46" s="63">
        <f t="shared" si="10"/>
        <v>0</v>
      </c>
      <c r="CS46" s="63">
        <f t="shared" si="10"/>
        <v>0</v>
      </c>
      <c r="CT46" s="63">
        <f t="shared" si="10"/>
        <v>0</v>
      </c>
      <c r="CU46" s="63">
        <f t="shared" si="10"/>
        <v>0</v>
      </c>
      <c r="CV46" s="63">
        <f t="shared" si="10"/>
        <v>0</v>
      </c>
      <c r="CW46" s="63">
        <f t="shared" si="10"/>
        <v>0</v>
      </c>
      <c r="CX46" s="63">
        <f t="shared" si="10"/>
        <v>0</v>
      </c>
      <c r="CY46" s="63">
        <f t="shared" si="10"/>
        <v>0</v>
      </c>
      <c r="CZ46" s="63">
        <f t="shared" si="10"/>
        <v>0</v>
      </c>
      <c r="DA46" s="63">
        <f t="shared" si="10"/>
        <v>0</v>
      </c>
      <c r="DB46" s="63">
        <f t="shared" si="10"/>
        <v>0</v>
      </c>
      <c r="DC46" s="63">
        <f t="shared" si="10"/>
        <v>0</v>
      </c>
      <c r="DD46" s="63">
        <f t="shared" si="10"/>
        <v>0</v>
      </c>
      <c r="DE46" s="63">
        <f t="shared" si="10"/>
        <v>0</v>
      </c>
      <c r="DF46" s="63">
        <f t="shared" si="10"/>
        <v>0</v>
      </c>
      <c r="DG46" s="63">
        <f t="shared" si="10"/>
        <v>0</v>
      </c>
      <c r="DH46" s="63">
        <f t="shared" si="10"/>
        <v>0</v>
      </c>
      <c r="DI46" s="63">
        <f t="shared" si="10"/>
        <v>0</v>
      </c>
      <c r="DJ46" s="63">
        <f t="shared" si="10"/>
        <v>0</v>
      </c>
      <c r="DK46" s="63">
        <f t="shared" si="10"/>
        <v>0</v>
      </c>
      <c r="DL46" s="63">
        <f t="shared" si="10"/>
        <v>0</v>
      </c>
      <c r="DM46" s="63">
        <f t="shared" si="10"/>
        <v>0</v>
      </c>
      <c r="DN46" s="63">
        <f t="shared" si="10"/>
        <v>0</v>
      </c>
      <c r="DO46" s="63">
        <f t="shared" si="10"/>
        <v>0</v>
      </c>
      <c r="DP46" s="63">
        <f t="shared" si="10"/>
        <v>0</v>
      </c>
      <c r="DQ46" s="63">
        <f t="shared" si="10"/>
        <v>0</v>
      </c>
      <c r="DR46" s="63">
        <f t="shared" si="10"/>
        <v>0</v>
      </c>
      <c r="DS46" s="63">
        <f t="shared" si="10"/>
        <v>0</v>
      </c>
      <c r="DT46" s="63">
        <f t="shared" si="10"/>
        <v>0</v>
      </c>
      <c r="DU46" s="63">
        <f t="shared" si="10"/>
        <v>0</v>
      </c>
      <c r="DV46" s="63">
        <f t="shared" si="10"/>
        <v>0</v>
      </c>
      <c r="DW46" s="63">
        <f t="shared" si="10"/>
        <v>0</v>
      </c>
      <c r="DX46" s="63">
        <f t="shared" si="10"/>
        <v>0</v>
      </c>
      <c r="DY46" s="63">
        <f t="shared" si="10"/>
        <v>0</v>
      </c>
      <c r="DZ46" s="63">
        <f t="shared" si="10"/>
        <v>0</v>
      </c>
      <c r="EA46" s="63">
        <f t="shared" ref="EA46:EN46" si="11">SUMIF($B$5:$B$40,$B$46,EA5:EA40)</f>
        <v>0</v>
      </c>
      <c r="EB46" s="63">
        <f t="shared" si="11"/>
        <v>0</v>
      </c>
      <c r="EC46" s="63">
        <f t="shared" si="11"/>
        <v>0</v>
      </c>
      <c r="ED46" s="63">
        <f t="shared" si="11"/>
        <v>0</v>
      </c>
      <c r="EE46" s="63">
        <f t="shared" si="11"/>
        <v>0</v>
      </c>
      <c r="EF46" s="63">
        <f t="shared" si="11"/>
        <v>0</v>
      </c>
    </row>
    <row r="47" spans="1:136" ht="17.25" customHeight="1" thickBot="1" x14ac:dyDescent="0.35">
      <c r="A47" s="64"/>
      <c r="B47" s="65" t="s">
        <v>106</v>
      </c>
      <c r="C47" s="66">
        <f t="shared" ref="C47:BN47" si="12">SUMIF($B$5:$B$40,$B$47,C5:C40)</f>
        <v>46.019999999999996</v>
      </c>
      <c r="D47" s="66">
        <f t="shared" si="12"/>
        <v>55.54</v>
      </c>
      <c r="E47" s="66">
        <f t="shared" si="12"/>
        <v>37.199999999999996</v>
      </c>
      <c r="F47" s="66">
        <f t="shared" si="12"/>
        <v>52</v>
      </c>
      <c r="G47" s="66">
        <f t="shared" si="12"/>
        <v>0</v>
      </c>
      <c r="H47" s="66">
        <f t="shared" si="12"/>
        <v>0</v>
      </c>
      <c r="I47" s="66">
        <f t="shared" si="12"/>
        <v>51.5</v>
      </c>
      <c r="J47" s="66">
        <f t="shared" si="12"/>
        <v>52.5</v>
      </c>
      <c r="K47" s="66">
        <f t="shared" si="12"/>
        <v>79.94</v>
      </c>
      <c r="L47" s="66">
        <f t="shared" si="12"/>
        <v>101.2</v>
      </c>
      <c r="M47" s="66">
        <f t="shared" si="12"/>
        <v>35.94</v>
      </c>
      <c r="N47" s="66">
        <f t="shared" si="12"/>
        <v>0</v>
      </c>
      <c r="O47" s="66">
        <f t="shared" si="12"/>
        <v>0</v>
      </c>
      <c r="P47" s="66">
        <f t="shared" si="12"/>
        <v>72.2</v>
      </c>
      <c r="Q47" s="66">
        <f t="shared" si="12"/>
        <v>79.7</v>
      </c>
      <c r="R47" s="66">
        <f t="shared" si="12"/>
        <v>53</v>
      </c>
      <c r="S47" s="66">
        <f t="shared" si="12"/>
        <v>56.760000000000005</v>
      </c>
      <c r="T47" s="66">
        <f t="shared" si="12"/>
        <v>43.5</v>
      </c>
      <c r="U47" s="66">
        <f t="shared" si="12"/>
        <v>0</v>
      </c>
      <c r="V47" s="66">
        <f t="shared" si="12"/>
        <v>0</v>
      </c>
      <c r="W47" s="66">
        <f t="shared" si="12"/>
        <v>52.5</v>
      </c>
      <c r="X47" s="66">
        <f t="shared" si="12"/>
        <v>32.200000000000003</v>
      </c>
      <c r="Y47" s="66">
        <f t="shared" si="12"/>
        <v>32.200000000000003</v>
      </c>
      <c r="Z47" s="66">
        <f t="shared" si="12"/>
        <v>44.760000000000005</v>
      </c>
      <c r="AA47" s="66">
        <f t="shared" si="12"/>
        <v>32.200000000000003</v>
      </c>
      <c r="AB47" s="66">
        <f t="shared" si="12"/>
        <v>0</v>
      </c>
      <c r="AC47" s="66">
        <f t="shared" si="12"/>
        <v>0</v>
      </c>
      <c r="AD47" s="66">
        <f t="shared" si="12"/>
        <v>42.44</v>
      </c>
      <c r="AE47" s="66">
        <f t="shared" si="12"/>
        <v>48.2</v>
      </c>
      <c r="AF47" s="66">
        <f t="shared" si="12"/>
        <v>32.200000000000003</v>
      </c>
      <c r="AG47" s="66">
        <f t="shared" si="12"/>
        <v>32.200000000000003</v>
      </c>
      <c r="AH47" s="66">
        <f t="shared" si="12"/>
        <v>0</v>
      </c>
      <c r="AI47" s="66">
        <f t="shared" si="12"/>
        <v>0</v>
      </c>
      <c r="AJ47" s="66">
        <f t="shared" si="12"/>
        <v>0</v>
      </c>
      <c r="AK47" s="66">
        <f t="shared" si="12"/>
        <v>0</v>
      </c>
      <c r="AL47" s="66">
        <f t="shared" si="12"/>
        <v>0</v>
      </c>
      <c r="AM47" s="66">
        <f t="shared" si="12"/>
        <v>7.1999999999999993</v>
      </c>
      <c r="AN47" s="66">
        <f t="shared" si="12"/>
        <v>12</v>
      </c>
      <c r="AO47" s="66">
        <f t="shared" si="12"/>
        <v>7.1999999999999993</v>
      </c>
      <c r="AP47" s="66">
        <f t="shared" si="12"/>
        <v>0</v>
      </c>
      <c r="AQ47" s="66">
        <f t="shared" si="12"/>
        <v>0</v>
      </c>
      <c r="AR47" s="66">
        <f t="shared" si="12"/>
        <v>0</v>
      </c>
      <c r="AS47" s="66">
        <f t="shared" si="12"/>
        <v>0</v>
      </c>
      <c r="AT47" s="66">
        <f t="shared" si="12"/>
        <v>0</v>
      </c>
      <c r="AU47" s="66">
        <f t="shared" si="12"/>
        <v>4.8</v>
      </c>
      <c r="AV47" s="66">
        <f t="shared" si="12"/>
        <v>0</v>
      </c>
      <c r="AW47" s="66">
        <f t="shared" si="12"/>
        <v>0</v>
      </c>
      <c r="AX47" s="66">
        <f t="shared" si="12"/>
        <v>0</v>
      </c>
      <c r="AY47" s="66">
        <f t="shared" si="12"/>
        <v>0</v>
      </c>
      <c r="AZ47" s="66">
        <f t="shared" si="12"/>
        <v>0</v>
      </c>
      <c r="BA47" s="66">
        <f t="shared" si="12"/>
        <v>0</v>
      </c>
      <c r="BB47" s="66">
        <f t="shared" si="12"/>
        <v>0</v>
      </c>
      <c r="BC47" s="66">
        <f t="shared" si="12"/>
        <v>0</v>
      </c>
      <c r="BD47" s="66">
        <f t="shared" si="12"/>
        <v>0</v>
      </c>
      <c r="BE47" s="66">
        <f t="shared" si="12"/>
        <v>0</v>
      </c>
      <c r="BF47" s="66">
        <f t="shared" si="12"/>
        <v>0</v>
      </c>
      <c r="BG47" s="66">
        <f t="shared" si="12"/>
        <v>0</v>
      </c>
      <c r="BH47" s="66">
        <f t="shared" si="12"/>
        <v>0</v>
      </c>
      <c r="BI47" s="66">
        <f t="shared" si="12"/>
        <v>0</v>
      </c>
      <c r="BJ47" s="66">
        <f t="shared" si="12"/>
        <v>0</v>
      </c>
      <c r="BK47" s="66">
        <f t="shared" si="12"/>
        <v>0</v>
      </c>
      <c r="BL47" s="66">
        <f t="shared" si="12"/>
        <v>0</v>
      </c>
      <c r="BM47" s="66">
        <f t="shared" si="12"/>
        <v>0</v>
      </c>
      <c r="BN47" s="66">
        <f t="shared" si="12"/>
        <v>0</v>
      </c>
      <c r="BO47" s="66">
        <f t="shared" ref="BO47:DZ47" si="13">SUMIF($B$5:$B$40,$B$47,BO5:BO40)</f>
        <v>0</v>
      </c>
      <c r="BP47" s="66">
        <f t="shared" si="13"/>
        <v>0</v>
      </c>
      <c r="BQ47" s="66">
        <f t="shared" si="13"/>
        <v>0</v>
      </c>
      <c r="BR47" s="66">
        <f t="shared" si="13"/>
        <v>0</v>
      </c>
      <c r="BS47" s="66">
        <f t="shared" si="13"/>
        <v>0</v>
      </c>
      <c r="BT47" s="66">
        <f t="shared" si="13"/>
        <v>0</v>
      </c>
      <c r="BU47" s="66">
        <f t="shared" si="13"/>
        <v>0</v>
      </c>
      <c r="BV47" s="66">
        <f t="shared" si="13"/>
        <v>0</v>
      </c>
      <c r="BW47" s="66">
        <f t="shared" si="13"/>
        <v>0</v>
      </c>
      <c r="BX47" s="66">
        <f t="shared" si="13"/>
        <v>0</v>
      </c>
      <c r="BY47" s="66">
        <f t="shared" si="13"/>
        <v>0</v>
      </c>
      <c r="BZ47" s="66">
        <f t="shared" si="13"/>
        <v>0</v>
      </c>
      <c r="CA47" s="66">
        <f t="shared" si="13"/>
        <v>0</v>
      </c>
      <c r="CB47" s="66">
        <f t="shared" si="13"/>
        <v>0</v>
      </c>
      <c r="CC47" s="66">
        <f t="shared" si="13"/>
        <v>0</v>
      </c>
      <c r="CD47" s="66">
        <f t="shared" si="13"/>
        <v>0</v>
      </c>
      <c r="CE47" s="66">
        <f t="shared" si="13"/>
        <v>0</v>
      </c>
      <c r="CF47" s="66">
        <f t="shared" si="13"/>
        <v>0</v>
      </c>
      <c r="CG47" s="66">
        <f t="shared" si="13"/>
        <v>0</v>
      </c>
      <c r="CH47" s="66">
        <f t="shared" si="13"/>
        <v>0</v>
      </c>
      <c r="CI47" s="66">
        <f t="shared" si="13"/>
        <v>0</v>
      </c>
      <c r="CJ47" s="66">
        <f t="shared" si="13"/>
        <v>0</v>
      </c>
      <c r="CK47" s="66">
        <f t="shared" si="13"/>
        <v>0</v>
      </c>
      <c r="CL47" s="66">
        <f t="shared" si="13"/>
        <v>0</v>
      </c>
      <c r="CM47" s="66">
        <f t="shared" si="13"/>
        <v>0</v>
      </c>
      <c r="CN47" s="66">
        <f t="shared" si="13"/>
        <v>0</v>
      </c>
      <c r="CO47" s="66">
        <f t="shared" si="13"/>
        <v>0</v>
      </c>
      <c r="CP47" s="66">
        <f t="shared" si="13"/>
        <v>0</v>
      </c>
      <c r="CQ47" s="66">
        <f t="shared" si="13"/>
        <v>0</v>
      </c>
      <c r="CR47" s="66">
        <f t="shared" si="13"/>
        <v>0</v>
      </c>
      <c r="CS47" s="66">
        <f t="shared" si="13"/>
        <v>0</v>
      </c>
      <c r="CT47" s="66">
        <f t="shared" si="13"/>
        <v>0</v>
      </c>
      <c r="CU47" s="66">
        <f t="shared" si="13"/>
        <v>0</v>
      </c>
      <c r="CV47" s="66">
        <f t="shared" si="13"/>
        <v>0</v>
      </c>
      <c r="CW47" s="66">
        <f t="shared" si="13"/>
        <v>0</v>
      </c>
      <c r="CX47" s="66">
        <f t="shared" si="13"/>
        <v>0</v>
      </c>
      <c r="CY47" s="66">
        <f t="shared" si="13"/>
        <v>0</v>
      </c>
      <c r="CZ47" s="66">
        <f t="shared" si="13"/>
        <v>0</v>
      </c>
      <c r="DA47" s="66">
        <f t="shared" si="13"/>
        <v>0</v>
      </c>
      <c r="DB47" s="66">
        <f t="shared" si="13"/>
        <v>0</v>
      </c>
      <c r="DC47" s="66">
        <f t="shared" si="13"/>
        <v>0</v>
      </c>
      <c r="DD47" s="66">
        <f t="shared" si="13"/>
        <v>0</v>
      </c>
      <c r="DE47" s="66">
        <f t="shared" si="13"/>
        <v>0</v>
      </c>
      <c r="DF47" s="66">
        <f t="shared" si="13"/>
        <v>0</v>
      </c>
      <c r="DG47" s="66">
        <f t="shared" si="13"/>
        <v>0</v>
      </c>
      <c r="DH47" s="66">
        <f t="shared" si="13"/>
        <v>0</v>
      </c>
      <c r="DI47" s="66">
        <f t="shared" si="13"/>
        <v>0</v>
      </c>
      <c r="DJ47" s="66">
        <f t="shared" si="13"/>
        <v>0</v>
      </c>
      <c r="DK47" s="66">
        <f t="shared" si="13"/>
        <v>0</v>
      </c>
      <c r="DL47" s="66">
        <f t="shared" si="13"/>
        <v>0</v>
      </c>
      <c r="DM47" s="66">
        <f t="shared" si="13"/>
        <v>0</v>
      </c>
      <c r="DN47" s="66">
        <f t="shared" si="13"/>
        <v>0</v>
      </c>
      <c r="DO47" s="66">
        <f t="shared" si="13"/>
        <v>0</v>
      </c>
      <c r="DP47" s="66">
        <f t="shared" si="13"/>
        <v>0</v>
      </c>
      <c r="DQ47" s="66">
        <f t="shared" si="13"/>
        <v>0</v>
      </c>
      <c r="DR47" s="66">
        <f t="shared" si="13"/>
        <v>0</v>
      </c>
      <c r="DS47" s="66">
        <f t="shared" si="13"/>
        <v>0</v>
      </c>
      <c r="DT47" s="66">
        <f t="shared" si="13"/>
        <v>0</v>
      </c>
      <c r="DU47" s="66">
        <f t="shared" si="13"/>
        <v>0</v>
      </c>
      <c r="DV47" s="66">
        <f t="shared" si="13"/>
        <v>0</v>
      </c>
      <c r="DW47" s="66">
        <f t="shared" si="13"/>
        <v>0</v>
      </c>
      <c r="DX47" s="66">
        <f t="shared" si="13"/>
        <v>0</v>
      </c>
      <c r="DY47" s="66">
        <f t="shared" si="13"/>
        <v>0</v>
      </c>
      <c r="DZ47" s="66">
        <f t="shared" si="13"/>
        <v>0</v>
      </c>
      <c r="EA47" s="66">
        <f t="shared" ref="EA47:EN47" si="14">SUMIF($B$5:$B$40,$B$47,EA5:EA40)</f>
        <v>0</v>
      </c>
      <c r="EB47" s="66">
        <f t="shared" si="14"/>
        <v>0</v>
      </c>
      <c r="EC47" s="66">
        <f t="shared" si="14"/>
        <v>0</v>
      </c>
      <c r="ED47" s="66">
        <f t="shared" si="14"/>
        <v>0</v>
      </c>
      <c r="EE47" s="66">
        <f t="shared" si="14"/>
        <v>0</v>
      </c>
      <c r="EF47" s="66">
        <f t="shared" si="14"/>
        <v>0</v>
      </c>
    </row>
  </sheetData>
  <mergeCells count="6">
    <mergeCell ref="A3:A4"/>
    <mergeCell ref="B3:B4"/>
    <mergeCell ref="A5:A24"/>
    <mergeCell ref="A26:A43"/>
    <mergeCell ref="A44:B44"/>
    <mergeCell ref="A46:A47"/>
  </mergeCells>
  <phoneticPr fontId="2" type="noConversion"/>
  <pageMargins left="0.31496062992125984" right="0" top="0.35433070866141736" bottom="0.19685039370078741" header="0.31496062992125984" footer="0.31496062992125984"/>
  <pageSetup paperSize="9" scal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생산계획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현준</dc:creator>
  <cp:lastModifiedBy>전 현준</cp:lastModifiedBy>
  <dcterms:created xsi:type="dcterms:W3CDTF">2026-04-08T00:09:16Z</dcterms:created>
  <dcterms:modified xsi:type="dcterms:W3CDTF">2026-04-08T00:09:33Z</dcterms:modified>
</cp:coreProperties>
</file>